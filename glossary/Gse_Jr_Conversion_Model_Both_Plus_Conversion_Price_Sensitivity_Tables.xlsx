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burry_SCI\Downloads\"/>
    </mc:Choice>
  </mc:AlternateContent>
  <xr:revisionPtr revIDLastSave="0" documentId="8_{DCCC34A9-1ABF-48E8-B6E0-CA9D148C78B7}" xr6:coauthVersionLast="47" xr6:coauthVersionMax="47" xr10:uidLastSave="{00000000-0000-0000-0000-000000000000}"/>
  <bookViews>
    <workbookView xWindow="31485" yWindow="5865" windowWidth="25305" windowHeight="16635" xr2:uid="{00000000-000D-0000-FFFF-FFFF00000000}"/>
  </bookViews>
  <sheets>
    <sheet name="Fannie Mae (FNMA)" sheetId="1" r:id="rId1"/>
    <sheet name="Freddie Mac (FMCC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B6" i="2"/>
  <c r="B14" i="2" s="1"/>
  <c r="H4" i="2"/>
  <c r="B25" i="2" s="1"/>
  <c r="H6" i="1"/>
  <c r="B6" i="1"/>
  <c r="B18" i="1" s="1"/>
  <c r="H4" i="1"/>
  <c r="B23" i="1" s="1"/>
  <c r="B15" i="2" l="1"/>
  <c r="C15" i="2" s="1"/>
  <c r="B17" i="2"/>
  <c r="C17" i="2" s="1"/>
  <c r="D17" i="2" s="1"/>
  <c r="E17" i="2" s="1"/>
  <c r="H17" i="2" s="1"/>
  <c r="B18" i="2"/>
  <c r="C18" i="2" s="1"/>
  <c r="D18" i="2" s="1"/>
  <c r="E18" i="2" s="1"/>
  <c r="H18" i="2" s="1"/>
  <c r="B23" i="2"/>
  <c r="C23" i="2" s="1"/>
  <c r="D23" i="2" s="1"/>
  <c r="G23" i="2" s="1"/>
  <c r="B24" i="2"/>
  <c r="C24" i="2" s="1"/>
  <c r="D24" i="2" s="1"/>
  <c r="G24" i="2" s="1"/>
  <c r="B25" i="1"/>
  <c r="C25" i="1" s="1"/>
  <c r="D25" i="1" s="1"/>
  <c r="G25" i="1" s="1"/>
  <c r="G18" i="1"/>
  <c r="D18" i="1"/>
  <c r="E18" i="1" s="1"/>
  <c r="H18" i="1"/>
  <c r="F18" i="1"/>
  <c r="C18" i="1"/>
  <c r="C25" i="2"/>
  <c r="D25" i="2" s="1"/>
  <c r="G25" i="2" s="1"/>
  <c r="C14" i="2"/>
  <c r="D14" i="2" s="1"/>
  <c r="E14" i="2" s="1"/>
  <c r="H14" i="2" s="1"/>
  <c r="B13" i="1"/>
  <c r="B26" i="1"/>
  <c r="B14" i="1"/>
  <c r="B17" i="1"/>
  <c r="C23" i="1"/>
  <c r="D23" i="1" s="1"/>
  <c r="B13" i="2"/>
  <c r="B16" i="2"/>
  <c r="B22" i="2"/>
  <c r="C22" i="2" s="1"/>
  <c r="D22" i="2" s="1"/>
  <c r="G22" i="2" s="1"/>
  <c r="B26" i="2"/>
  <c r="C26" i="2" s="1"/>
  <c r="D26" i="2" s="1"/>
  <c r="G26" i="2" s="1"/>
  <c r="B16" i="1"/>
  <c r="H5" i="2"/>
  <c r="H7" i="2" s="1"/>
  <c r="B24" i="1"/>
  <c r="C24" i="1" s="1"/>
  <c r="D24" i="1" s="1"/>
  <c r="G24" i="1" s="1"/>
  <c r="H5" i="1"/>
  <c r="H7" i="1" s="1"/>
  <c r="B22" i="1"/>
  <c r="C22" i="1" s="1"/>
  <c r="D22" i="1" s="1"/>
  <c r="G22" i="1" s="1"/>
  <c r="B15" i="1"/>
  <c r="D15" i="2" l="1"/>
  <c r="E15" i="2" s="1"/>
  <c r="F15" i="2" s="1"/>
  <c r="G15" i="2" s="1"/>
  <c r="E24" i="2"/>
  <c r="F24" i="2" s="1"/>
  <c r="F14" i="2"/>
  <c r="G14" i="2" s="1"/>
  <c r="E23" i="2"/>
  <c r="F23" i="2" s="1"/>
  <c r="F18" i="2"/>
  <c r="G18" i="2" s="1"/>
  <c r="H15" i="2"/>
  <c r="G23" i="1"/>
  <c r="E23" i="1"/>
  <c r="F23" i="1" s="1"/>
  <c r="E25" i="1"/>
  <c r="F25" i="1" s="1"/>
  <c r="C14" i="1"/>
  <c r="D14" i="1" s="1"/>
  <c r="E14" i="1" s="1"/>
  <c r="C16" i="1"/>
  <c r="D16" i="1" s="1"/>
  <c r="E16" i="1" s="1"/>
  <c r="H16" i="1" s="1"/>
  <c r="C26" i="1"/>
  <c r="D26" i="1" s="1"/>
  <c r="G26" i="1" s="1"/>
  <c r="E25" i="2"/>
  <c r="F25" i="2" s="1"/>
  <c r="F17" i="2"/>
  <c r="G17" i="2" s="1"/>
  <c r="E26" i="2"/>
  <c r="F26" i="2" s="1"/>
  <c r="E22" i="1"/>
  <c r="F22" i="1" s="1"/>
  <c r="G17" i="1"/>
  <c r="F17" i="1"/>
  <c r="H17" i="1"/>
  <c r="C17" i="1"/>
  <c r="D17" i="1"/>
  <c r="E17" i="1" s="1"/>
  <c r="C13" i="1"/>
  <c r="D13" i="1" s="1"/>
  <c r="E13" i="1" s="1"/>
  <c r="H13" i="1" s="1"/>
  <c r="C15" i="1"/>
  <c r="E22" i="2"/>
  <c r="F22" i="2" s="1"/>
  <c r="C16" i="2"/>
  <c r="D16" i="2" s="1"/>
  <c r="E16" i="2" s="1"/>
  <c r="H16" i="2" s="1"/>
  <c r="C13" i="2"/>
  <c r="D13" i="2" s="1"/>
  <c r="E13" i="2" s="1"/>
  <c r="H13" i="2" s="1"/>
  <c r="E24" i="1"/>
  <c r="F24" i="1" s="1"/>
  <c r="D15" i="1" l="1"/>
  <c r="E15" i="1" s="1"/>
  <c r="H15" i="1" s="1"/>
  <c r="F13" i="1"/>
  <c r="G13" i="1" s="1"/>
  <c r="H14" i="1"/>
  <c r="F14" i="1"/>
  <c r="G14" i="1" s="1"/>
  <c r="F16" i="1"/>
  <c r="G16" i="1" s="1"/>
  <c r="F13" i="2"/>
  <c r="G13" i="2" s="1"/>
  <c r="F16" i="2"/>
  <c r="G16" i="2" s="1"/>
  <c r="E26" i="1"/>
  <c r="F26" i="1" s="1"/>
  <c r="F15" i="1" l="1"/>
  <c r="G15" i="1" s="1"/>
</calcChain>
</file>

<file path=xl/sharedStrings.xml><?xml version="1.0" encoding="utf-8"?>
<sst xmlns="http://schemas.openxmlformats.org/spreadsheetml/2006/main" count="96" uniqueCount="49">
  <si>
    <t>Fannie Mae (FNMA) - Jr Pref Conversion Model</t>
  </si>
  <si>
    <t>Jr Pref converts to Common Stock at Conversion Price, then trades at Market Price</t>
  </si>
  <si>
    <t>COMPANY FUNDAMENTALS</t>
  </si>
  <si>
    <t>MARKET INPUTS (Yellow)</t>
  </si>
  <si>
    <t>CONVERSION TERMS (Yellow)</t>
  </si>
  <si>
    <t>KEY CALCULATIONS</t>
  </si>
  <si>
    <t>Book Equity ($B)</t>
  </si>
  <si>
    <t>Common Entry Price</t>
  </si>
  <si>
    <t>IPO Price</t>
  </si>
  <si>
    <t>Jr Pref Claim ($B)</t>
  </si>
  <si>
    <t>Capital Gap @ 2.5% ($B)</t>
  </si>
  <si>
    <t>Jr Pref Entry Price</t>
  </si>
  <si>
    <t>Jr Pref Conversion Price</t>
  </si>
  <si>
    <t>Jr Pref Conv Shares (B)</t>
  </si>
  <si>
    <t>Post-Recap Book ($B)</t>
  </si>
  <si>
    <t>Post-IPO P/B Multiple</t>
  </si>
  <si>
    <t>Jr Pref Haircut %</t>
  </si>
  <si>
    <t>IPO Shares (B)</t>
  </si>
  <si>
    <t>SPS Liq Pref ($B)</t>
  </si>
  <si>
    <t>Total Common Shares (B)</t>
  </si>
  <si>
    <t>Jr Pref Face Value ($B)</t>
  </si>
  <si>
    <t>Jr Pref Shares (M)</t>
  </si>
  <si>
    <t>Base Common Shares (B)</t>
  </si>
  <si>
    <t>SCENARIO ANALYSIS</t>
  </si>
  <si>
    <t>SPS
Remaining</t>
  </si>
  <si>
    <t>Equity to
Shareholders</t>
  </si>
  <si>
    <t>Jr Pref
Shares</t>
  </si>
  <si>
    <t>Total
Shares</t>
  </si>
  <si>
    <t>Share
Price</t>
  </si>
  <si>
    <t>Jr Pref
Value</t>
  </si>
  <si>
    <t>Jr Pref
Return</t>
  </si>
  <si>
    <t>Common
Return</t>
  </si>
  <si>
    <t>CONVERSION PRICE SENSITIVITY (Bull Case - 0% SPS)</t>
  </si>
  <si>
    <t>Conv Price</t>
  </si>
  <si>
    <t>Jr Shares</t>
  </si>
  <si>
    <t>Total Shares</t>
  </si>
  <si>
    <t>Share Price</t>
  </si>
  <si>
    <t>Jr Pref Value</t>
  </si>
  <si>
    <t>Jr Return</t>
  </si>
  <si>
    <t>Common Return</t>
  </si>
  <si>
    <t>KEY INSIGHTS</t>
  </si>
  <si>
    <t>• Jr Pref converts to COMMON SHARES at the Conversion Price, then those shares trade at Market Price</t>
  </si>
  <si>
    <t>• Lower Conversion Price = More shares for Jr Pref = Higher Jr Pref value, Lower Common value</t>
  </si>
  <si>
    <t>• Higher Conversion Price = Fewer shares for Jr Pref = Lower Jr Pref value, Higher Common value</t>
  </si>
  <si>
    <t>• The Conversion Price is a NEGOTIATED term - likely tied to IPO price or book value</t>
  </si>
  <si>
    <t>• Jr Pref return is BINARY on SPS (wiped out or not) but CONTINUOUS on Conversion Price</t>
  </si>
  <si>
    <t>• All shareholders (Jr Pref converted + Common + IPO) split the SAME equity pool at the SAME share price</t>
  </si>
  <si>
    <t>Source: SEC Filings, Company Presentations and Michael Burry's Estimates</t>
  </si>
  <si>
    <t>Freddie Mac (FMCC) - Junior Preferred Conversion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</si>
</sst>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.000"/>
    <numFmt numFmtId="166" formatCode="&quot;$&quot;0.00"/>
    <numFmt numFmtId="167" formatCode="0.00&quot;x&quot;"/>
    <numFmt numFmtId="168" formatCode="&quot;$&quot;0"/>
    <numFmt numFmtId="169" formatCode="&quot;$&quot;0.0&quot;B&quot;"/>
    <numFmt numFmtId="170" formatCode="0.00&quot;B&quot;"/>
    <numFmt numFmtId="171" formatCode="\+0%;\-0%;0%"/>
    <numFmt numFmtId="172" formatCode="\+0%;\-0%"/>
  </numFmts>
  <fonts count="16" x14ac:knownFonts="1">
    <font>
      <sz val="11"/>
      <color theme="1"/>
      <name val="Calibri"/>
      <family val="2"/>
      <scheme val="minor"/>
    </font>
    <font>
      <i/>
      <sz val="9"/>
      <color rgb="FF888888"/>
      <name val="Calibri"/>
      <family val="2"/>
    </font>
    <font>
      <b/>
      <sz val="18"/>
      <color rgb="FF1F4E79"/>
      <name val="Garamond"/>
      <family val="1"/>
    </font>
    <font>
      <sz val="11"/>
      <color theme="1"/>
      <name val="Garamond"/>
      <family val="1"/>
    </font>
    <font>
      <b/>
      <sz val="12"/>
      <color rgb="FF2E75B6"/>
      <name val="Garamond"/>
      <family val="1"/>
    </font>
    <font>
      <b/>
      <sz val="10"/>
      <color rgb="FFFFFFFF"/>
      <name val="Garamond"/>
      <family val="1"/>
    </font>
    <font>
      <sz val="9"/>
      <name val="Garamond"/>
      <family val="1"/>
    </font>
    <font>
      <b/>
      <sz val="10"/>
      <name val="Garamond"/>
      <family val="1"/>
    </font>
    <font>
      <b/>
      <sz val="11"/>
      <name val="Garamond"/>
      <family val="1"/>
    </font>
    <font>
      <b/>
      <sz val="12"/>
      <color rgb="FFFFFFFF"/>
      <name val="Garamond"/>
      <family val="1"/>
    </font>
    <font>
      <b/>
      <sz val="11"/>
      <color rgb="FFFFFFFF"/>
      <name val="Garamond"/>
      <family val="1"/>
    </font>
    <font>
      <sz val="9"/>
      <color rgb="FF333333"/>
      <name val="Garamond"/>
      <family val="1"/>
    </font>
    <font>
      <i/>
      <sz val="9"/>
      <color rgb="FF888888"/>
      <name val="Garamond"/>
      <family val="1"/>
    </font>
    <font>
      <sz val="8"/>
      <name val="Garamond"/>
      <family val="1"/>
    </font>
    <font>
      <b/>
      <sz val="8"/>
      <name val="Garamond"/>
      <family val="1"/>
    </font>
    <font>
      <sz val="8"/>
      <color theme="1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065F46"/>
        <bgColor rgb="FF065F46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5" fillId="2" borderId="0" xfId="0" applyFont="1" applyFill="1"/>
    <xf numFmtId="0" fontId="5" fillId="5" borderId="0" xfId="0" applyFont="1" applyFill="1"/>
    <xf numFmtId="0" fontId="5" fillId="6" borderId="0" xfId="0" applyFont="1" applyFill="1"/>
    <xf numFmtId="0" fontId="6" fillId="0" borderId="0" xfId="0" applyFont="1"/>
    <xf numFmtId="164" fontId="7" fillId="0" borderId="1" xfId="0" applyNumberFormat="1" applyFont="1" applyBorder="1"/>
    <xf numFmtId="166" fontId="8" fillId="4" borderId="1" xfId="0" applyNumberFormat="1" applyFont="1" applyFill="1" applyBorder="1"/>
    <xf numFmtId="168" fontId="8" fillId="4" borderId="1" xfId="0" applyNumberFormat="1" applyFont="1" applyFill="1" applyBorder="1"/>
    <xf numFmtId="2" fontId="7" fillId="3" borderId="1" xfId="0" applyNumberFormat="1" applyFont="1" applyFill="1" applyBorder="1"/>
    <xf numFmtId="165" fontId="7" fillId="3" borderId="1" xfId="0" applyNumberFormat="1" applyFont="1" applyFill="1" applyBorder="1"/>
    <xf numFmtId="164" fontId="7" fillId="3" borderId="1" xfId="0" applyNumberFormat="1" applyFont="1" applyFill="1" applyBorder="1"/>
    <xf numFmtId="167" fontId="8" fillId="4" borderId="1" xfId="0" applyNumberFormat="1" applyFont="1" applyFill="1" applyBorder="1"/>
    <xf numFmtId="9" fontId="8" fillId="4" borderId="1" xfId="0" applyNumberFormat="1" applyFont="1" applyFill="1" applyBorder="1"/>
    <xf numFmtId="1" fontId="7" fillId="0" borderId="1" xfId="0" applyNumberFormat="1" applyFont="1" applyBorder="1"/>
    <xf numFmtId="165" fontId="7" fillId="0" borderId="1" xfId="0" applyNumberFormat="1" applyFont="1" applyBorder="1"/>
    <xf numFmtId="0" fontId="9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/>
    </xf>
    <xf numFmtId="169" fontId="7" fillId="3" borderId="1" xfId="0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71" fontId="8" fillId="0" borderId="1" xfId="0" applyNumberFormat="1" applyFont="1" applyBorder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168" fontId="8" fillId="0" borderId="1" xfId="0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72" fontId="8" fillId="0" borderId="1" xfId="0" applyNumberFormat="1" applyFont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14" fillId="0" borderId="1" xfId="0" applyNumberFormat="1" applyFont="1" applyBorder="1"/>
    <xf numFmtId="166" fontId="14" fillId="4" borderId="1" xfId="0" applyNumberFormat="1" applyFont="1" applyFill="1" applyBorder="1"/>
    <xf numFmtId="168" fontId="14" fillId="4" borderId="1" xfId="0" applyNumberFormat="1" applyFont="1" applyFill="1" applyBorder="1"/>
    <xf numFmtId="2" fontId="14" fillId="3" borderId="1" xfId="0" applyNumberFormat="1" applyFont="1" applyFill="1" applyBorder="1"/>
    <xf numFmtId="165" fontId="14" fillId="3" borderId="1" xfId="0" applyNumberFormat="1" applyFont="1" applyFill="1" applyBorder="1"/>
    <xf numFmtId="164" fontId="14" fillId="3" borderId="1" xfId="0" applyNumberFormat="1" applyFont="1" applyFill="1" applyBorder="1"/>
    <xf numFmtId="167" fontId="14" fillId="4" borderId="1" xfId="0" applyNumberFormat="1" applyFont="1" applyFill="1" applyBorder="1"/>
    <xf numFmtId="9" fontId="14" fillId="4" borderId="1" xfId="0" applyNumberFormat="1" applyFont="1" applyFill="1" applyBorder="1"/>
    <xf numFmtId="1" fontId="14" fillId="0" borderId="1" xfId="0" applyNumberFormat="1" applyFont="1" applyBorder="1"/>
    <xf numFmtId="0" fontId="15" fillId="0" borderId="0" xfId="0" applyFont="1"/>
    <xf numFmtId="165" fontId="1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K18" sqref="K18"/>
    </sheetView>
  </sheetViews>
  <sheetFormatPr defaultRowHeight="15" x14ac:dyDescent="0.25"/>
  <cols>
    <col min="1" max="1" width="14.42578125" customWidth="1"/>
    <col min="2" max="2" width="18.42578125" customWidth="1"/>
    <col min="3" max="3" width="11.28515625" customWidth="1"/>
    <col min="4" max="4" width="17.5703125" customWidth="1"/>
    <col min="5" max="5" width="10.85546875" bestFit="1" customWidth="1"/>
    <col min="6" max="6" width="17.28515625" customWidth="1"/>
    <col min="7" max="7" width="13.85546875" customWidth="1"/>
    <col min="8" max="8" width="20.140625" customWidth="1"/>
  </cols>
  <sheetData>
    <row r="1" spans="1:8" ht="23.25" x14ac:dyDescent="0.35">
      <c r="A1" s="2" t="s">
        <v>0</v>
      </c>
      <c r="B1" s="3"/>
      <c r="C1" s="3"/>
      <c r="D1" s="3"/>
      <c r="E1" s="3"/>
      <c r="F1" s="3"/>
      <c r="G1" s="3"/>
      <c r="H1" s="3"/>
    </row>
    <row r="2" spans="1:8" ht="15.75" x14ac:dyDescent="0.25">
      <c r="A2" s="4" t="s">
        <v>1</v>
      </c>
      <c r="B2" s="3"/>
      <c r="C2" s="3"/>
      <c r="D2" s="3"/>
      <c r="E2" s="3"/>
      <c r="F2" s="3"/>
      <c r="G2" s="3"/>
      <c r="H2" s="3"/>
    </row>
    <row r="3" spans="1:8" x14ac:dyDescent="0.25">
      <c r="A3" s="6" t="s">
        <v>2</v>
      </c>
      <c r="B3" s="3"/>
      <c r="C3" s="6" t="s">
        <v>3</v>
      </c>
      <c r="D3" s="3"/>
      <c r="E3" s="7" t="s">
        <v>4</v>
      </c>
      <c r="F3" s="3"/>
      <c r="G3" s="8" t="s">
        <v>5</v>
      </c>
      <c r="H3" s="3"/>
    </row>
    <row r="4" spans="1:8" x14ac:dyDescent="0.25">
      <c r="A4" s="9" t="s">
        <v>6</v>
      </c>
      <c r="B4" s="10">
        <v>105.5</v>
      </c>
      <c r="C4" s="9" t="s">
        <v>7</v>
      </c>
      <c r="D4" s="11">
        <v>11.22</v>
      </c>
      <c r="E4" s="9" t="s">
        <v>8</v>
      </c>
      <c r="F4" s="12">
        <v>15</v>
      </c>
      <c r="G4" s="9" t="s">
        <v>9</v>
      </c>
      <c r="H4" s="13">
        <f>$B$8*(1-$F$6)</f>
        <v>15.280000000000001</v>
      </c>
    </row>
    <row r="5" spans="1:8" x14ac:dyDescent="0.25">
      <c r="A5" s="9" t="s">
        <v>10</v>
      </c>
      <c r="B5" s="10">
        <v>5.6</v>
      </c>
      <c r="C5" s="9" t="s">
        <v>11</v>
      </c>
      <c r="D5" s="11">
        <v>15</v>
      </c>
      <c r="E5" s="9" t="s">
        <v>12</v>
      </c>
      <c r="F5" s="12">
        <v>15</v>
      </c>
      <c r="G5" s="9" t="s">
        <v>13</v>
      </c>
      <c r="H5" s="14">
        <f>$H$4/$F$5</f>
        <v>1.0186666666666668</v>
      </c>
    </row>
    <row r="6" spans="1:8" x14ac:dyDescent="0.25">
      <c r="A6" s="9" t="s">
        <v>14</v>
      </c>
      <c r="B6" s="15">
        <f>B4+B5</f>
        <v>111.1</v>
      </c>
      <c r="C6" s="9" t="s">
        <v>15</v>
      </c>
      <c r="D6" s="16">
        <v>1.5</v>
      </c>
      <c r="E6" s="9" t="s">
        <v>16</v>
      </c>
      <c r="F6" s="17">
        <v>0.2</v>
      </c>
      <c r="G6" s="9" t="s">
        <v>17</v>
      </c>
      <c r="H6" s="14">
        <f>$B$5/$F$4</f>
        <v>0.37333333333333329</v>
      </c>
    </row>
    <row r="7" spans="1:8" x14ac:dyDescent="0.25">
      <c r="A7" s="9" t="s">
        <v>18</v>
      </c>
      <c r="B7" s="18">
        <v>225</v>
      </c>
      <c r="C7" s="5"/>
      <c r="D7" s="5"/>
      <c r="E7" s="5"/>
      <c r="F7" s="5"/>
      <c r="G7" s="9" t="s">
        <v>19</v>
      </c>
      <c r="H7" s="14">
        <f>$B$10+$H$5+$H$6</f>
        <v>7.1529999999999987</v>
      </c>
    </row>
    <row r="8" spans="1:8" x14ac:dyDescent="0.25">
      <c r="A8" s="9" t="s">
        <v>20</v>
      </c>
      <c r="B8" s="10">
        <v>19.100000000000001</v>
      </c>
      <c r="C8" s="5"/>
      <c r="D8" s="5"/>
      <c r="E8" s="5"/>
      <c r="F8" s="5"/>
      <c r="G8" s="5"/>
      <c r="H8" s="5"/>
    </row>
    <row r="9" spans="1:8" x14ac:dyDescent="0.25">
      <c r="A9" s="9" t="s">
        <v>21</v>
      </c>
      <c r="B9" s="18">
        <v>764</v>
      </c>
      <c r="C9" s="5"/>
      <c r="D9" s="5"/>
      <c r="E9" s="5"/>
      <c r="F9" s="5"/>
      <c r="G9" s="5"/>
      <c r="H9" s="5"/>
    </row>
    <row r="10" spans="1:8" x14ac:dyDescent="0.25">
      <c r="A10" s="9" t="s">
        <v>22</v>
      </c>
      <c r="B10" s="19">
        <v>5.7609999999999992</v>
      </c>
      <c r="C10" s="5"/>
      <c r="D10" s="5"/>
      <c r="E10" s="5"/>
      <c r="F10" s="5"/>
      <c r="G10" s="5"/>
      <c r="H10" s="5"/>
    </row>
    <row r="11" spans="1:8" ht="15.75" x14ac:dyDescent="0.25">
      <c r="A11" s="20" t="s">
        <v>23</v>
      </c>
      <c r="B11" s="3"/>
      <c r="C11" s="3"/>
      <c r="D11" s="3"/>
      <c r="E11" s="3"/>
      <c r="F11" s="3"/>
      <c r="G11" s="3"/>
      <c r="H11" s="3"/>
    </row>
    <row r="12" spans="1:8" ht="35.1" customHeight="1" x14ac:dyDescent="0.25">
      <c r="A12" s="21" t="s">
        <v>24</v>
      </c>
      <c r="B12" s="21" t="s">
        <v>25</v>
      </c>
      <c r="C12" s="21" t="s">
        <v>26</v>
      </c>
      <c r="D12" s="21" t="s">
        <v>27</v>
      </c>
      <c r="E12" s="21" t="s">
        <v>28</v>
      </c>
      <c r="F12" s="21" t="s">
        <v>29</v>
      </c>
      <c r="G12" s="21" t="s">
        <v>30</v>
      </c>
      <c r="H12" s="21" t="s">
        <v>31</v>
      </c>
    </row>
    <row r="13" spans="1:8" ht="24" customHeight="1" x14ac:dyDescent="0.25">
      <c r="A13" s="22">
        <v>0</v>
      </c>
      <c r="B13" s="23">
        <f t="shared" ref="B13:B18" si="0">MAX(0,$B$6-A13*$B$7)</f>
        <v>111.1</v>
      </c>
      <c r="C13" s="24">
        <f>IF(B13&lt;=0,0,MIN($H$4,B13)/$F$5)</f>
        <v>1.0186666666666668</v>
      </c>
      <c r="D13" s="24">
        <f>IF(B13&lt;=0,0,$B$10+$H$6+C13)</f>
        <v>7.1529999999999987</v>
      </c>
      <c r="E13" s="25">
        <f t="shared" ref="E13:E18" si="1">IF(D13&lt;=0,0,(B13*$D$6)/D13)</f>
        <v>23.297916957919757</v>
      </c>
      <c r="F13" s="25">
        <f t="shared" ref="F13:F18" si="2">IF(B13&lt;=0,0,(C13*1000*E13)/$B$9)</f>
        <v>31.063889277226348</v>
      </c>
      <c r="G13" s="26">
        <f t="shared" ref="G13:G18" si="3">IF(B13&lt;=0,-1,(F13-$D$5)/$D$5)</f>
        <v>1.07092595181509</v>
      </c>
      <c r="H13" s="26">
        <f t="shared" ref="H13:H18" si="4">IF(B13&lt;=0,-1,(E13-$D$4)/$D$4)</f>
        <v>1.0764631869803702</v>
      </c>
    </row>
    <row r="14" spans="1:8" ht="24" customHeight="1" x14ac:dyDescent="0.25">
      <c r="A14" s="22">
        <v>0.15</v>
      </c>
      <c r="B14" s="23">
        <f t="shared" si="0"/>
        <v>77.349999999999994</v>
      </c>
      <c r="C14" s="24">
        <f>IF(B14&lt;=0,0,MIN($H$4,B14)/$F$5)</f>
        <v>1.0186666666666668</v>
      </c>
      <c r="D14" s="24">
        <f>IF(B14&lt;=0,0,$B$10+$H$6+C14)</f>
        <v>7.1529999999999987</v>
      </c>
      <c r="E14" s="25">
        <f t="shared" si="1"/>
        <v>16.220466936949535</v>
      </c>
      <c r="F14" s="25">
        <f t="shared" si="2"/>
        <v>21.627289249266052</v>
      </c>
      <c r="G14" s="26">
        <f t="shared" si="3"/>
        <v>0.44181928328440351</v>
      </c>
      <c r="H14" s="26">
        <f t="shared" si="4"/>
        <v>0.44567441505789074</v>
      </c>
    </row>
    <row r="15" spans="1:8" ht="24" customHeight="1" x14ac:dyDescent="0.25">
      <c r="A15" s="22">
        <v>0.25</v>
      </c>
      <c r="B15" s="23">
        <f t="shared" si="0"/>
        <v>54.849999999999994</v>
      </c>
      <c r="C15" s="24">
        <f>IF(B15&lt;=0,0,MIN($H$4,B15)/$F$5)</f>
        <v>1.0186666666666668</v>
      </c>
      <c r="D15" s="24">
        <f>IF(B15&lt;=0,0,$B$10+$H$6+C15)</f>
        <v>7.1529999999999987</v>
      </c>
      <c r="E15" s="25">
        <f t="shared" si="1"/>
        <v>11.502166922969385</v>
      </c>
      <c r="F15" s="25">
        <f t="shared" si="2"/>
        <v>15.336222563959184</v>
      </c>
      <c r="G15" s="26">
        <f t="shared" si="3"/>
        <v>2.2414837597278966E-2</v>
      </c>
      <c r="H15" s="26">
        <f t="shared" si="4"/>
        <v>2.5148567109570821E-2</v>
      </c>
    </row>
    <row r="16" spans="1:8" ht="24" customHeight="1" x14ac:dyDescent="0.25">
      <c r="A16" s="22">
        <v>0.4</v>
      </c>
      <c r="B16" s="23">
        <f t="shared" si="0"/>
        <v>21.099999999999994</v>
      </c>
      <c r="C16" s="24">
        <f>IF(B16&lt;=0,0,MIN($H$4,B16)/$F$5)</f>
        <v>1.0186666666666668</v>
      </c>
      <c r="D16" s="24">
        <f>IF(B16&lt;=0,0,$B$10+$H$6+C16)</f>
        <v>7.1529999999999987</v>
      </c>
      <c r="E16" s="25">
        <f t="shared" si="1"/>
        <v>4.4247169019991608</v>
      </c>
      <c r="F16" s="25">
        <f t="shared" si="2"/>
        <v>5.8996225359988825</v>
      </c>
      <c r="G16" s="26">
        <f t="shared" si="3"/>
        <v>-0.60669183093340773</v>
      </c>
      <c r="H16" s="26">
        <f t="shared" si="4"/>
        <v>-0.60564020481290903</v>
      </c>
    </row>
    <row r="17" spans="1:8" ht="24" customHeight="1" x14ac:dyDescent="0.25">
      <c r="A17" s="22">
        <v>0.5</v>
      </c>
      <c r="B17" s="23">
        <f t="shared" si="0"/>
        <v>0</v>
      </c>
      <c r="C17" s="24">
        <f>IF(B17&lt;=0,0,MIN($H$4,B17)/$F$5)</f>
        <v>0</v>
      </c>
      <c r="D17" s="24">
        <f>IF(B17&lt;=0,0,$B$10+$H$6+C17)</f>
        <v>0</v>
      </c>
      <c r="E17" s="25">
        <f t="shared" si="1"/>
        <v>0</v>
      </c>
      <c r="F17" s="25">
        <f t="shared" si="2"/>
        <v>0</v>
      </c>
      <c r="G17" s="26">
        <f t="shared" si="3"/>
        <v>-1</v>
      </c>
      <c r="H17" s="26">
        <f t="shared" si="4"/>
        <v>-1</v>
      </c>
    </row>
    <row r="18" spans="1:8" ht="24" customHeight="1" x14ac:dyDescent="0.25">
      <c r="A18" s="22">
        <v>0.6</v>
      </c>
      <c r="B18" s="23">
        <f t="shared" si="0"/>
        <v>0</v>
      </c>
      <c r="C18" s="24">
        <f>IF(B18&lt;=0,0,MIN($H$4,B18)/$F$5)</f>
        <v>0</v>
      </c>
      <c r="D18" s="24">
        <f>IF(B18&lt;=0,0,$B$10+$H$6+C18)</f>
        <v>0</v>
      </c>
      <c r="E18" s="25">
        <f t="shared" si="1"/>
        <v>0</v>
      </c>
      <c r="F18" s="25">
        <f t="shared" si="2"/>
        <v>0</v>
      </c>
      <c r="G18" s="26">
        <f t="shared" si="3"/>
        <v>-1</v>
      </c>
      <c r="H18" s="26">
        <f t="shared" si="4"/>
        <v>-1</v>
      </c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27" t="s">
        <v>32</v>
      </c>
      <c r="B20" s="3"/>
      <c r="C20" s="3"/>
      <c r="D20" s="3"/>
      <c r="E20" s="3"/>
      <c r="F20" s="3"/>
      <c r="G20" s="3"/>
      <c r="H20" s="5"/>
    </row>
    <row r="21" spans="1:8" x14ac:dyDescent="0.25">
      <c r="A21" s="28" t="s">
        <v>33</v>
      </c>
      <c r="B21" s="28" t="s">
        <v>34</v>
      </c>
      <c r="C21" s="28" t="s">
        <v>35</v>
      </c>
      <c r="D21" s="28" t="s">
        <v>36</v>
      </c>
      <c r="E21" s="28" t="s">
        <v>37</v>
      </c>
      <c r="F21" s="28" t="s">
        <v>38</v>
      </c>
      <c r="G21" s="28" t="s">
        <v>39</v>
      </c>
      <c r="H21" s="5"/>
    </row>
    <row r="22" spans="1:8" x14ac:dyDescent="0.25">
      <c r="A22" s="29">
        <v>10</v>
      </c>
      <c r="B22" s="30">
        <f>$H$4/A22</f>
        <v>1.528</v>
      </c>
      <c r="C22" s="30">
        <f>$B$10+$H$6+B22</f>
        <v>7.6623333333333328</v>
      </c>
      <c r="D22" s="31">
        <f>($B$6*$D$6)/C22</f>
        <v>21.749249575847216</v>
      </c>
      <c r="E22" s="32">
        <f>(B22*1000*D22)/$B$9</f>
        <v>43.498499151694432</v>
      </c>
      <c r="F22" s="33">
        <f>(E22-$D$5)/$D$5</f>
        <v>1.8998999434462955</v>
      </c>
      <c r="G22" s="33">
        <f>(D22-$D$4)/$D$4</f>
        <v>0.93843579107372677</v>
      </c>
      <c r="H22" s="5"/>
    </row>
    <row r="23" spans="1:8" x14ac:dyDescent="0.25">
      <c r="A23" s="29">
        <v>15</v>
      </c>
      <c r="B23" s="30">
        <f>$H$4/A23</f>
        <v>1.0186666666666668</v>
      </c>
      <c r="C23" s="30">
        <f>$B$10+$H$6+B23</f>
        <v>7.1529999999999987</v>
      </c>
      <c r="D23" s="31">
        <f>($B$6*$D$6)/C23</f>
        <v>23.297916957919757</v>
      </c>
      <c r="E23" s="32">
        <f>(B23*1000*D23)/$B$9</f>
        <v>31.063889277226348</v>
      </c>
      <c r="F23" s="33">
        <f>(E23-$D$5)/$D$5</f>
        <v>1.07092595181509</v>
      </c>
      <c r="G23" s="33">
        <f>(D23-$D$4)/$D$4</f>
        <v>1.0764631869803702</v>
      </c>
      <c r="H23" s="5"/>
    </row>
    <row r="24" spans="1:8" x14ac:dyDescent="0.25">
      <c r="A24" s="29">
        <v>20</v>
      </c>
      <c r="B24" s="30">
        <f>$H$4/A24</f>
        <v>0.76400000000000001</v>
      </c>
      <c r="C24" s="30">
        <f>$B$10+$H$6+B24</f>
        <v>6.8983333333333325</v>
      </c>
      <c r="D24" s="31">
        <f>($B$6*$D$6)/C24</f>
        <v>24.158009180961585</v>
      </c>
      <c r="E24" s="32">
        <f>(B24*1000*D24)/$B$9</f>
        <v>24.158009180961582</v>
      </c>
      <c r="F24" s="33">
        <f>(E24-$D$5)/$D$5</f>
        <v>0.61053394539743877</v>
      </c>
      <c r="G24" s="33">
        <f>(D24-$D$4)/$D$4</f>
        <v>1.1531202478575386</v>
      </c>
      <c r="H24" s="5"/>
    </row>
    <row r="25" spans="1:8" x14ac:dyDescent="0.25">
      <c r="A25" s="29">
        <v>25</v>
      </c>
      <c r="B25" s="30">
        <f>$H$4/A25</f>
        <v>0.61120000000000008</v>
      </c>
      <c r="C25" s="30">
        <f>$B$10+$H$6+B25</f>
        <v>6.7455333333333325</v>
      </c>
      <c r="D25" s="31">
        <f>($B$6*$D$6)/C25</f>
        <v>24.705237045748792</v>
      </c>
      <c r="E25" s="32">
        <f>(B25*1000*D25)/$B$9</f>
        <v>19.764189636599035</v>
      </c>
      <c r="F25" s="33">
        <f>(E25-$D$5)/$D$5</f>
        <v>0.31761264243993564</v>
      </c>
      <c r="G25" s="33">
        <f>(D25-$D$4)/$D$4</f>
        <v>1.2018927848260954</v>
      </c>
      <c r="H25" s="5"/>
    </row>
    <row r="26" spans="1:8" x14ac:dyDescent="0.25">
      <c r="A26" s="29">
        <v>30</v>
      </c>
      <c r="B26" s="30">
        <f>$H$4/A26</f>
        <v>0.50933333333333342</v>
      </c>
      <c r="C26" s="30">
        <f>$B$10+$H$6+B26</f>
        <v>6.6436666666666655</v>
      </c>
      <c r="D26" s="31">
        <f>($B$6*$D$6)/C26</f>
        <v>25.084039937785359</v>
      </c>
      <c r="E26" s="32">
        <f>(B26*1000*D26)/$B$9</f>
        <v>16.72269329185691</v>
      </c>
      <c r="F26" s="33">
        <f>(E26-$D$5)/$D$5</f>
        <v>0.11484621945712732</v>
      </c>
      <c r="G26" s="33">
        <f>(D26-$D$4)/$D$4</f>
        <v>1.2356541834033297</v>
      </c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34" t="s">
        <v>40</v>
      </c>
      <c r="B28" s="3"/>
      <c r="C28" s="3"/>
      <c r="D28" s="3"/>
      <c r="E28" s="3"/>
      <c r="F28" s="3"/>
      <c r="G28" s="3"/>
      <c r="H28" s="3"/>
    </row>
    <row r="29" spans="1:8" x14ac:dyDescent="0.25">
      <c r="A29" s="35" t="s">
        <v>41</v>
      </c>
      <c r="B29" s="3"/>
      <c r="C29" s="3"/>
      <c r="D29" s="3"/>
      <c r="E29" s="3"/>
      <c r="F29" s="3"/>
      <c r="G29" s="3"/>
      <c r="H29" s="3"/>
    </row>
    <row r="30" spans="1:8" x14ac:dyDescent="0.25">
      <c r="A30" s="35" t="s">
        <v>42</v>
      </c>
      <c r="B30" s="3"/>
      <c r="C30" s="3"/>
      <c r="D30" s="3"/>
      <c r="E30" s="3"/>
      <c r="F30" s="3"/>
      <c r="G30" s="3"/>
      <c r="H30" s="3"/>
    </row>
    <row r="31" spans="1:8" x14ac:dyDescent="0.25">
      <c r="A31" s="35" t="s">
        <v>43</v>
      </c>
      <c r="B31" s="3"/>
      <c r="C31" s="3"/>
      <c r="D31" s="3"/>
      <c r="E31" s="3"/>
      <c r="F31" s="3"/>
      <c r="G31" s="3"/>
      <c r="H31" s="3"/>
    </row>
    <row r="32" spans="1:8" x14ac:dyDescent="0.25">
      <c r="A32" s="35" t="s">
        <v>44</v>
      </c>
      <c r="B32" s="3"/>
      <c r="C32" s="3"/>
      <c r="D32" s="3"/>
      <c r="E32" s="3"/>
      <c r="F32" s="3"/>
      <c r="G32" s="3"/>
      <c r="H32" s="3"/>
    </row>
    <row r="33" spans="1:8" x14ac:dyDescent="0.25">
      <c r="A33" s="35" t="s">
        <v>45</v>
      </c>
      <c r="B33" s="3"/>
      <c r="C33" s="3"/>
      <c r="D33" s="3"/>
      <c r="E33" s="3"/>
      <c r="F33" s="3"/>
      <c r="G33" s="3"/>
      <c r="H33" s="3"/>
    </row>
    <row r="34" spans="1:8" x14ac:dyDescent="0.25">
      <c r="A34" s="35" t="s">
        <v>46</v>
      </c>
      <c r="B34" s="3"/>
      <c r="C34" s="3"/>
      <c r="D34" s="3"/>
      <c r="E34" s="3"/>
      <c r="F34" s="3"/>
      <c r="G34" s="3"/>
      <c r="H34" s="3"/>
    </row>
    <row r="36" spans="1:8" x14ac:dyDescent="0.25">
      <c r="A36" s="1" t="s">
        <v>47</v>
      </c>
    </row>
  </sheetData>
  <mergeCells count="15">
    <mergeCell ref="A34:H34"/>
    <mergeCell ref="A29:H29"/>
    <mergeCell ref="A33:H33"/>
    <mergeCell ref="A28:H28"/>
    <mergeCell ref="A20:G20"/>
    <mergeCell ref="A1:H1"/>
    <mergeCell ref="A11:H11"/>
    <mergeCell ref="A31:H31"/>
    <mergeCell ref="C3:D3"/>
    <mergeCell ref="A30:H30"/>
    <mergeCell ref="A3:B3"/>
    <mergeCell ref="E3:F3"/>
    <mergeCell ref="A2:H2"/>
    <mergeCell ref="G3:H3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>
      <selection activeCell="L11" sqref="L11"/>
    </sheetView>
  </sheetViews>
  <sheetFormatPr defaultRowHeight="15" x14ac:dyDescent="0.25"/>
  <cols>
    <col min="1" max="1" width="14" customWidth="1"/>
    <col min="2" max="2" width="12.140625" customWidth="1"/>
    <col min="3" max="3" width="16.42578125" customWidth="1"/>
    <col min="4" max="4" width="11" customWidth="1"/>
    <col min="5" max="5" width="17.42578125" customWidth="1"/>
    <col min="6" max="6" width="12.140625" customWidth="1"/>
    <col min="7" max="7" width="17.7109375" customWidth="1"/>
    <col min="8" max="8" width="10.5703125" customWidth="1"/>
  </cols>
  <sheetData>
    <row r="1" spans="1:8" ht="23.25" x14ac:dyDescent="0.35">
      <c r="A1" s="2" t="s">
        <v>48</v>
      </c>
      <c r="B1" s="3"/>
      <c r="C1" s="3"/>
      <c r="D1" s="3"/>
      <c r="E1" s="3"/>
      <c r="F1" s="3"/>
      <c r="G1" s="3"/>
      <c r="H1" s="3"/>
    </row>
    <row r="2" spans="1:8" ht="15.75" x14ac:dyDescent="0.25">
      <c r="A2" s="4" t="s">
        <v>1</v>
      </c>
      <c r="B2" s="3"/>
      <c r="C2" s="3"/>
      <c r="D2" s="3"/>
      <c r="E2" s="3"/>
      <c r="F2" s="3"/>
      <c r="G2" s="3"/>
      <c r="H2" s="3"/>
    </row>
    <row r="3" spans="1:8" x14ac:dyDescent="0.25">
      <c r="A3" s="6" t="s">
        <v>2</v>
      </c>
      <c r="B3" s="3"/>
      <c r="C3" s="6" t="s">
        <v>3</v>
      </c>
      <c r="D3" s="3"/>
      <c r="E3" s="7" t="s">
        <v>4</v>
      </c>
      <c r="F3" s="3"/>
      <c r="G3" s="8" t="s">
        <v>5</v>
      </c>
      <c r="H3" s="3"/>
    </row>
    <row r="4" spans="1:8" x14ac:dyDescent="0.25">
      <c r="A4" s="37" t="s">
        <v>6</v>
      </c>
      <c r="B4" s="38">
        <v>67.599999999999994</v>
      </c>
      <c r="C4" s="37" t="s">
        <v>7</v>
      </c>
      <c r="D4" s="39">
        <v>10.5</v>
      </c>
      <c r="E4" s="37" t="s">
        <v>8</v>
      </c>
      <c r="F4" s="40">
        <v>15</v>
      </c>
      <c r="G4" s="37" t="s">
        <v>9</v>
      </c>
      <c r="H4" s="41">
        <f>$B$8*(1-$F$6)</f>
        <v>11.280000000000001</v>
      </c>
    </row>
    <row r="5" spans="1:8" x14ac:dyDescent="0.25">
      <c r="A5" s="37" t="s">
        <v>10</v>
      </c>
      <c r="B5" s="38">
        <v>30</v>
      </c>
      <c r="C5" s="37" t="s">
        <v>11</v>
      </c>
      <c r="D5" s="39">
        <v>14.28</v>
      </c>
      <c r="E5" s="37" t="s">
        <v>12</v>
      </c>
      <c r="F5" s="40">
        <v>15</v>
      </c>
      <c r="G5" s="37" t="s">
        <v>13</v>
      </c>
      <c r="H5" s="42">
        <f>$H$4/$F$5</f>
        <v>0.75200000000000011</v>
      </c>
    </row>
    <row r="6" spans="1:8" x14ac:dyDescent="0.25">
      <c r="A6" s="37" t="s">
        <v>14</v>
      </c>
      <c r="B6" s="43">
        <f>B4+B5</f>
        <v>97.6</v>
      </c>
      <c r="C6" s="37" t="s">
        <v>15</v>
      </c>
      <c r="D6" s="44">
        <v>1.5</v>
      </c>
      <c r="E6" s="37" t="s">
        <v>16</v>
      </c>
      <c r="F6" s="45">
        <v>0.2</v>
      </c>
      <c r="G6" s="37" t="s">
        <v>17</v>
      </c>
      <c r="H6" s="42">
        <f>$B$5/$F$4</f>
        <v>2</v>
      </c>
    </row>
    <row r="7" spans="1:8" x14ac:dyDescent="0.25">
      <c r="A7" s="37" t="s">
        <v>18</v>
      </c>
      <c r="B7" s="46">
        <v>140</v>
      </c>
      <c r="C7" s="47"/>
      <c r="D7" s="47"/>
      <c r="E7" s="47"/>
      <c r="F7" s="47"/>
      <c r="G7" s="37" t="s">
        <v>19</v>
      </c>
      <c r="H7" s="42">
        <f>$B$10+$H$5+$H$6</f>
        <v>5.9860000000000007</v>
      </c>
    </row>
    <row r="8" spans="1:8" x14ac:dyDescent="0.25">
      <c r="A8" s="37" t="s">
        <v>20</v>
      </c>
      <c r="B8" s="38">
        <v>14.1</v>
      </c>
      <c r="C8" s="47"/>
      <c r="D8" s="47"/>
      <c r="E8" s="47"/>
      <c r="F8" s="47"/>
      <c r="G8" s="47"/>
      <c r="H8" s="47"/>
    </row>
    <row r="9" spans="1:8" x14ac:dyDescent="0.25">
      <c r="A9" s="37" t="s">
        <v>21</v>
      </c>
      <c r="B9" s="46">
        <v>564</v>
      </c>
      <c r="C9" s="47"/>
      <c r="D9" s="47"/>
      <c r="E9" s="47"/>
      <c r="F9" s="47"/>
      <c r="G9" s="47"/>
      <c r="H9" s="47"/>
    </row>
    <row r="10" spans="1:8" x14ac:dyDescent="0.25">
      <c r="A10" s="37" t="s">
        <v>22</v>
      </c>
      <c r="B10" s="48">
        <v>3.234</v>
      </c>
      <c r="C10" s="47"/>
      <c r="D10" s="47"/>
      <c r="E10" s="47"/>
      <c r="F10" s="47"/>
      <c r="G10" s="47"/>
      <c r="H10" s="47"/>
    </row>
    <row r="11" spans="1:8" ht="15.75" x14ac:dyDescent="0.25">
      <c r="A11" s="20" t="s">
        <v>23</v>
      </c>
      <c r="B11" s="3"/>
      <c r="C11" s="3"/>
      <c r="D11" s="3"/>
      <c r="E11" s="3"/>
      <c r="F11" s="3"/>
      <c r="G11" s="3"/>
      <c r="H11" s="3"/>
    </row>
    <row r="12" spans="1:8" ht="35.1" customHeight="1" x14ac:dyDescent="0.25">
      <c r="A12" s="21" t="s">
        <v>24</v>
      </c>
      <c r="B12" s="21" t="s">
        <v>25</v>
      </c>
      <c r="C12" s="21" t="s">
        <v>26</v>
      </c>
      <c r="D12" s="21" t="s">
        <v>27</v>
      </c>
      <c r="E12" s="21" t="s">
        <v>28</v>
      </c>
      <c r="F12" s="21" t="s">
        <v>29</v>
      </c>
      <c r="G12" s="21" t="s">
        <v>30</v>
      </c>
      <c r="H12" s="21" t="s">
        <v>31</v>
      </c>
    </row>
    <row r="13" spans="1:8" ht="24" customHeight="1" x14ac:dyDescent="0.25">
      <c r="A13" s="22">
        <v>0</v>
      </c>
      <c r="B13" s="23">
        <f t="shared" ref="B13:B18" si="0">MAX(0,$B$6-A13*$B$7)</f>
        <v>97.6</v>
      </c>
      <c r="C13" s="24">
        <f>IF(B13&lt;=0,0,MIN($H$4,B13)/$F$5)</f>
        <v>0.75200000000000011</v>
      </c>
      <c r="D13" s="24">
        <f>IF(B13&lt;=0,0,$B$10+$H$6+C13)</f>
        <v>5.9859999999999998</v>
      </c>
      <c r="E13" s="25">
        <f t="shared" ref="E13:E18" si="1">IF(D13&lt;=0,0,(B13*$D$6)/D13)</f>
        <v>24.457066488473099</v>
      </c>
      <c r="F13" s="25">
        <f t="shared" ref="F13:F18" si="2">IF(B13&lt;=0,0,(C13*1000*E13)/$B$9)</f>
        <v>32.609421984630799</v>
      </c>
      <c r="G13" s="26">
        <f t="shared" ref="G13:G18" si="3">IF(B13&lt;=0,-1,(F13-$D$5)/$D$5)</f>
        <v>1.2835729681114005</v>
      </c>
      <c r="H13" s="26">
        <f t="shared" ref="H13:H18" si="4">IF(B13&lt;=0,-1,(E13-$D$4)/$D$4)</f>
        <v>1.3292444274736286</v>
      </c>
    </row>
    <row r="14" spans="1:8" ht="24" customHeight="1" x14ac:dyDescent="0.25">
      <c r="A14" s="22">
        <v>0.15</v>
      </c>
      <c r="B14" s="23">
        <f t="shared" si="0"/>
        <v>76.599999999999994</v>
      </c>
      <c r="C14" s="24">
        <f>IF(B14&lt;=0,0,MIN($H$4,B14)/$F$5)</f>
        <v>0.75200000000000011</v>
      </c>
      <c r="D14" s="24">
        <f>IF(B14&lt;=0,0,$B$10+$H$6+C14)</f>
        <v>5.9859999999999998</v>
      </c>
      <c r="E14" s="25">
        <f t="shared" si="1"/>
        <v>19.19478783828934</v>
      </c>
      <c r="F14" s="25">
        <f t="shared" si="2"/>
        <v>25.593050451052459</v>
      </c>
      <c r="G14" s="26">
        <f t="shared" si="3"/>
        <v>0.79223042374316954</v>
      </c>
      <c r="H14" s="26">
        <f t="shared" si="4"/>
        <v>0.82807503221803236</v>
      </c>
    </row>
    <row r="15" spans="1:8" ht="24" customHeight="1" x14ac:dyDescent="0.25">
      <c r="A15" s="22">
        <v>0.25</v>
      </c>
      <c r="B15" s="23">
        <f t="shared" si="0"/>
        <v>62.599999999999994</v>
      </c>
      <c r="C15" s="24">
        <f>IF(B15&lt;=0,0,MIN($H$4,B15)/$F$5)</f>
        <v>0.75200000000000011</v>
      </c>
      <c r="D15" s="24">
        <f>IF(B15&lt;=0,0,$B$10+$H$6+C15)</f>
        <v>5.9859999999999998</v>
      </c>
      <c r="E15" s="25">
        <f t="shared" si="1"/>
        <v>15.686602071500166</v>
      </c>
      <c r="F15" s="25">
        <f t="shared" si="2"/>
        <v>20.915469428666892</v>
      </c>
      <c r="G15" s="26">
        <f t="shared" si="3"/>
        <v>0.46466872749768157</v>
      </c>
      <c r="H15" s="26">
        <f t="shared" si="4"/>
        <v>0.49396210204763491</v>
      </c>
    </row>
    <row r="16" spans="1:8" ht="24" customHeight="1" x14ac:dyDescent="0.25">
      <c r="A16" s="22">
        <v>0.4</v>
      </c>
      <c r="B16" s="23">
        <f t="shared" si="0"/>
        <v>41.599999999999994</v>
      </c>
      <c r="C16" s="24">
        <f>IF(B16&lt;=0,0,MIN($H$4,B16)/$F$5)</f>
        <v>0.75200000000000011</v>
      </c>
      <c r="D16" s="24">
        <f>IF(B16&lt;=0,0,$B$10+$H$6+C16)</f>
        <v>5.9859999999999998</v>
      </c>
      <c r="E16" s="25">
        <f t="shared" si="1"/>
        <v>10.424323421316403</v>
      </c>
      <c r="F16" s="25">
        <f t="shared" si="2"/>
        <v>13.899097895088541</v>
      </c>
      <c r="G16" s="26">
        <f t="shared" si="3"/>
        <v>-2.6673816870550284E-2</v>
      </c>
      <c r="H16" s="26">
        <f t="shared" si="4"/>
        <v>-7.2072932079615881E-3</v>
      </c>
    </row>
    <row r="17" spans="1:8" ht="24" customHeight="1" x14ac:dyDescent="0.25">
      <c r="A17" s="22">
        <v>0.5</v>
      </c>
      <c r="B17" s="23">
        <f t="shared" si="0"/>
        <v>27.599999999999994</v>
      </c>
      <c r="C17" s="24">
        <f>IF(B17&lt;=0,0,MIN($H$4,B17)/$F$5)</f>
        <v>0.75200000000000011</v>
      </c>
      <c r="D17" s="24">
        <f>IF(B17&lt;=0,0,$B$10+$H$6+C17)</f>
        <v>5.9859999999999998</v>
      </c>
      <c r="E17" s="25">
        <f t="shared" si="1"/>
        <v>6.9161376545272288</v>
      </c>
      <c r="F17" s="25">
        <f t="shared" si="2"/>
        <v>9.2215168727029724</v>
      </c>
      <c r="G17" s="26">
        <f t="shared" si="3"/>
        <v>-0.35423551311603835</v>
      </c>
      <c r="H17" s="26">
        <f t="shared" si="4"/>
        <v>-0.34132022337835916</v>
      </c>
    </row>
    <row r="18" spans="1:8" ht="24" customHeight="1" x14ac:dyDescent="0.25">
      <c r="A18" s="22">
        <v>0.6</v>
      </c>
      <c r="B18" s="23">
        <f t="shared" si="0"/>
        <v>13.599999999999994</v>
      </c>
      <c r="C18" s="24">
        <f>IF(B18&lt;=0,0,MIN($H$4,B18)/$F$5)</f>
        <v>0.75200000000000011</v>
      </c>
      <c r="D18" s="24">
        <f>IF(B18&lt;=0,0,$B$10+$H$6+C18)</f>
        <v>5.9859999999999998</v>
      </c>
      <c r="E18" s="25">
        <f t="shared" si="1"/>
        <v>3.4079518877380544</v>
      </c>
      <c r="F18" s="25">
        <f t="shared" si="2"/>
        <v>4.543935850317407</v>
      </c>
      <c r="G18" s="26">
        <f t="shared" si="3"/>
        <v>-0.6817972093615261</v>
      </c>
      <c r="H18" s="26">
        <f t="shared" si="4"/>
        <v>-0.67543315354875677</v>
      </c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27" t="s">
        <v>32</v>
      </c>
      <c r="B20" s="3"/>
      <c r="C20" s="3"/>
      <c r="D20" s="3"/>
      <c r="E20" s="3"/>
      <c r="F20" s="3"/>
      <c r="G20" s="3"/>
      <c r="H20" s="5"/>
    </row>
    <row r="21" spans="1:8" x14ac:dyDescent="0.25">
      <c r="A21" s="28" t="s">
        <v>33</v>
      </c>
      <c r="B21" s="28" t="s">
        <v>34</v>
      </c>
      <c r="C21" s="28" t="s">
        <v>35</v>
      </c>
      <c r="D21" s="28" t="s">
        <v>36</v>
      </c>
      <c r="E21" s="28" t="s">
        <v>37</v>
      </c>
      <c r="F21" s="28" t="s">
        <v>38</v>
      </c>
      <c r="G21" s="28" t="s">
        <v>39</v>
      </c>
      <c r="H21" s="5"/>
    </row>
    <row r="22" spans="1:8" x14ac:dyDescent="0.25">
      <c r="A22" s="29">
        <v>10</v>
      </c>
      <c r="B22" s="30">
        <f>$H$4/A22</f>
        <v>1.1280000000000001</v>
      </c>
      <c r="C22" s="30">
        <f>$B$10+$H$6+B22</f>
        <v>6.3620000000000001</v>
      </c>
      <c r="D22" s="31">
        <f>($B$6*$D$6)/C22</f>
        <v>23.011631562401757</v>
      </c>
      <c r="E22" s="32">
        <f>(B22*1000*D22)/$B$9</f>
        <v>46.023263124803513</v>
      </c>
      <c r="F22" s="33">
        <f>(E22-$D$5)/$D$5</f>
        <v>2.2229175857705541</v>
      </c>
      <c r="G22" s="33">
        <f>(D22-$D$4)/$D$4</f>
        <v>1.1915839583239769</v>
      </c>
      <c r="H22" s="5"/>
    </row>
    <row r="23" spans="1:8" x14ac:dyDescent="0.25">
      <c r="A23" s="29">
        <v>15</v>
      </c>
      <c r="B23" s="30">
        <f>$H$4/A23</f>
        <v>0.75200000000000011</v>
      </c>
      <c r="C23" s="30">
        <f>$B$10+$H$6+B23</f>
        <v>5.9859999999999998</v>
      </c>
      <c r="D23" s="31">
        <f>($B$6*$D$6)/C23</f>
        <v>24.457066488473099</v>
      </c>
      <c r="E23" s="32">
        <f>(B23*1000*D23)/$B$9</f>
        <v>32.609421984630799</v>
      </c>
      <c r="F23" s="33">
        <f>(E23-$D$5)/$D$5</f>
        <v>1.2835729681114005</v>
      </c>
      <c r="G23" s="33">
        <f>(D23-$D$4)/$D$4</f>
        <v>1.3292444274736286</v>
      </c>
      <c r="H23" s="5"/>
    </row>
    <row r="24" spans="1:8" x14ac:dyDescent="0.25">
      <c r="A24" s="29">
        <v>20</v>
      </c>
      <c r="B24" s="30">
        <f>$H$4/A24</f>
        <v>0.56400000000000006</v>
      </c>
      <c r="C24" s="30">
        <f>$B$10+$H$6+B24</f>
        <v>5.798</v>
      </c>
      <c r="D24" s="31">
        <f>($B$6*$D$6)/C24</f>
        <v>25.250086236633319</v>
      </c>
      <c r="E24" s="32">
        <f>(B24*1000*D24)/$B$9</f>
        <v>25.250086236633319</v>
      </c>
      <c r="F24" s="33">
        <f>(E24-$D$5)/$D$5</f>
        <v>0.76821332189308966</v>
      </c>
      <c r="G24" s="33">
        <f>(D24-$D$4)/$D$4</f>
        <v>1.4047701177746017</v>
      </c>
      <c r="H24" s="5"/>
    </row>
    <row r="25" spans="1:8" x14ac:dyDescent="0.25">
      <c r="A25" s="29">
        <v>25</v>
      </c>
      <c r="B25" s="30">
        <f>$H$4/A25</f>
        <v>0.45120000000000005</v>
      </c>
      <c r="C25" s="30">
        <f>$B$10+$H$6+B25</f>
        <v>5.6852</v>
      </c>
      <c r="D25" s="31">
        <f>($B$6*$D$6)/C25</f>
        <v>25.751072961373385</v>
      </c>
      <c r="E25" s="32">
        <f>(B25*1000*D25)/$B$9</f>
        <v>20.600858369098713</v>
      </c>
      <c r="F25" s="33">
        <f>(E25-$D$5)/$D$5</f>
        <v>0.44263714069318727</v>
      </c>
      <c r="G25" s="33">
        <f>(D25-$D$4)/$D$4</f>
        <v>1.4524831391784176</v>
      </c>
      <c r="H25" s="5"/>
    </row>
    <row r="26" spans="1:8" x14ac:dyDescent="0.25">
      <c r="A26" s="29">
        <v>30</v>
      </c>
      <c r="B26" s="30">
        <f>$H$4/A26</f>
        <v>0.37600000000000006</v>
      </c>
      <c r="C26" s="30">
        <f>$B$10+$H$6+B26</f>
        <v>5.61</v>
      </c>
      <c r="D26" s="31">
        <f>($B$6*$D$6)/C26</f>
        <v>26.096256684491973</v>
      </c>
      <c r="E26" s="32">
        <f>(B26*1000*D26)/$B$9</f>
        <v>17.397504456327987</v>
      </c>
      <c r="F26" s="33">
        <f>(E26-$D$5)/$D$5</f>
        <v>0.21831263699775821</v>
      </c>
      <c r="G26" s="33">
        <f>(D26-$D$4)/$D$4</f>
        <v>1.485357779475426</v>
      </c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34" t="s">
        <v>40</v>
      </c>
      <c r="B28" s="3"/>
      <c r="C28" s="3"/>
      <c r="D28" s="3"/>
      <c r="E28" s="3"/>
      <c r="F28" s="3"/>
      <c r="G28" s="3"/>
      <c r="H28" s="3"/>
    </row>
    <row r="29" spans="1:8" x14ac:dyDescent="0.25">
      <c r="A29" s="35" t="s">
        <v>41</v>
      </c>
      <c r="B29" s="3"/>
      <c r="C29" s="3"/>
      <c r="D29" s="3"/>
      <c r="E29" s="3"/>
      <c r="F29" s="3"/>
      <c r="G29" s="3"/>
      <c r="H29" s="3"/>
    </row>
    <row r="30" spans="1:8" x14ac:dyDescent="0.25">
      <c r="A30" s="35" t="s">
        <v>42</v>
      </c>
      <c r="B30" s="3"/>
      <c r="C30" s="3"/>
      <c r="D30" s="3"/>
      <c r="E30" s="3"/>
      <c r="F30" s="3"/>
      <c r="G30" s="3"/>
      <c r="H30" s="3"/>
    </row>
    <row r="31" spans="1:8" x14ac:dyDescent="0.25">
      <c r="A31" s="35" t="s">
        <v>43</v>
      </c>
      <c r="B31" s="3"/>
      <c r="C31" s="3"/>
      <c r="D31" s="3"/>
      <c r="E31" s="3"/>
      <c r="F31" s="3"/>
      <c r="G31" s="3"/>
      <c r="H31" s="3"/>
    </row>
    <row r="32" spans="1:8" x14ac:dyDescent="0.25">
      <c r="A32" s="35" t="s">
        <v>44</v>
      </c>
      <c r="B32" s="3"/>
      <c r="C32" s="3"/>
      <c r="D32" s="3"/>
      <c r="E32" s="3"/>
      <c r="F32" s="3"/>
      <c r="G32" s="3"/>
      <c r="H32" s="3"/>
    </row>
    <row r="33" spans="1:8" x14ac:dyDescent="0.25">
      <c r="A33" s="35" t="s">
        <v>45</v>
      </c>
      <c r="B33" s="3"/>
      <c r="C33" s="3"/>
      <c r="D33" s="3"/>
      <c r="E33" s="3"/>
      <c r="F33" s="3"/>
      <c r="G33" s="3"/>
      <c r="H33" s="3"/>
    </row>
    <row r="34" spans="1:8" x14ac:dyDescent="0.25">
      <c r="A34" s="35" t="s">
        <v>46</v>
      </c>
      <c r="B34" s="3"/>
      <c r="C34" s="3"/>
      <c r="D34" s="3"/>
      <c r="E34" s="3"/>
      <c r="F34" s="3"/>
      <c r="G34" s="3"/>
      <c r="H34" s="3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36" t="s">
        <v>47</v>
      </c>
      <c r="B36" s="5"/>
      <c r="C36" s="5"/>
      <c r="D36" s="5"/>
      <c r="E36" s="5"/>
      <c r="F36" s="5"/>
      <c r="G36" s="5"/>
      <c r="H36" s="5"/>
    </row>
  </sheetData>
  <mergeCells count="15">
    <mergeCell ref="A34:H34"/>
    <mergeCell ref="A29:H29"/>
    <mergeCell ref="A33:H33"/>
    <mergeCell ref="A28:H28"/>
    <mergeCell ref="A20:G20"/>
    <mergeCell ref="A1:H1"/>
    <mergeCell ref="A11:H11"/>
    <mergeCell ref="A31:H31"/>
    <mergeCell ref="C3:D3"/>
    <mergeCell ref="A30:H30"/>
    <mergeCell ref="A3:B3"/>
    <mergeCell ref="E3:F3"/>
    <mergeCell ref="A2:H2"/>
    <mergeCell ref="G3:H3"/>
    <mergeCell ref="A32:H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Fannie Mae (FNMA)</vt:lpstr>
      <vt:lpstr>Freddie Mac (FMCC)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Michael J. Burry</cp:lastModifiedBy>
  <dcterms:created xsi:type="dcterms:W3CDTF">2025-12-08T04:08:07Z</dcterms:created>
  <dcterms:modified xsi:type="dcterms:W3CDTF">2025-12-08T17:32:30Z</dcterms:modified>
</cp:coreProperties>
</file>