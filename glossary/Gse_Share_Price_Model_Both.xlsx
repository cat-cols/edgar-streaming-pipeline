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P:\Scion Media LLC\Substack posts\"/>
    </mc:Choice>
  </mc:AlternateContent>
  <xr:revisionPtr revIDLastSave="0" documentId="13_ncr:1_{31B05FC5-9918-458F-B1C2-E5AA3440697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NMA Scenarios" sheetId="1" r:id="rId1"/>
    <sheet name="FMCC Scenario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3" l="1"/>
  <c r="D12" i="3" s="1"/>
  <c r="E5" i="3"/>
  <c r="E5" i="1"/>
  <c r="D19" i="1" s="1"/>
  <c r="E4" i="1"/>
  <c r="B11" i="1"/>
  <c r="C11" i="1"/>
  <c r="C18" i="1"/>
  <c r="B11" i="3"/>
  <c r="C11" i="3"/>
  <c r="B12" i="3"/>
  <c r="C12" i="3"/>
  <c r="C25" i="1"/>
  <c r="B25" i="1"/>
  <c r="B18" i="1"/>
  <c r="C15" i="1"/>
  <c r="C14" i="1"/>
  <c r="C13" i="1"/>
  <c r="C12" i="1"/>
  <c r="C27" i="3"/>
  <c r="B27" i="3"/>
  <c r="B26" i="3"/>
  <c r="C26" i="3" s="1"/>
  <c r="B23" i="3"/>
  <c r="C23" i="3" s="1"/>
  <c r="B22" i="3"/>
  <c r="C22" i="3" s="1"/>
  <c r="B21" i="3"/>
  <c r="C21" i="3" s="1"/>
  <c r="B20" i="3"/>
  <c r="B19" i="3"/>
  <c r="C19" i="3" s="1"/>
  <c r="B13" i="3"/>
  <c r="C13" i="3" s="1"/>
  <c r="B30" i="3"/>
  <c r="C30" i="3" s="1"/>
  <c r="B29" i="3"/>
  <c r="C29" i="3" s="1"/>
  <c r="B28" i="3"/>
  <c r="C28" i="3" s="1"/>
  <c r="B29" i="1"/>
  <c r="C29" i="1" s="1"/>
  <c r="B28" i="1"/>
  <c r="C28" i="1" s="1"/>
  <c r="B27" i="1"/>
  <c r="C27" i="1" s="1"/>
  <c r="B26" i="1"/>
  <c r="C26" i="1" s="1"/>
  <c r="C20" i="3"/>
  <c r="I18" i="3"/>
  <c r="I25" i="3" s="1"/>
  <c r="H18" i="3"/>
  <c r="H25" i="3" s="1"/>
  <c r="G18" i="3"/>
  <c r="G25" i="3" s="1"/>
  <c r="F18" i="3"/>
  <c r="F25" i="3" s="1"/>
  <c r="E18" i="3"/>
  <c r="E25" i="3" s="1"/>
  <c r="B15" i="3"/>
  <c r="C15" i="3" s="1"/>
  <c r="B14" i="3"/>
  <c r="C14" i="3" s="1"/>
  <c r="B6" i="3"/>
  <c r="F17" i="1"/>
  <c r="F24" i="1" s="1"/>
  <c r="G17" i="1"/>
  <c r="G24" i="1" s="1"/>
  <c r="H17" i="1"/>
  <c r="H24" i="1" s="1"/>
  <c r="I17" i="1"/>
  <c r="I24" i="1" s="1"/>
  <c r="E17" i="1"/>
  <c r="E24" i="1" s="1"/>
  <c r="B22" i="1"/>
  <c r="C22" i="1" s="1"/>
  <c r="B21" i="1"/>
  <c r="C21" i="1" s="1"/>
  <c r="B20" i="1"/>
  <c r="C20" i="1" s="1"/>
  <c r="B19" i="1"/>
  <c r="C19" i="1" s="1"/>
  <c r="B15" i="1"/>
  <c r="B14" i="1"/>
  <c r="B13" i="1"/>
  <c r="B12" i="1"/>
  <c r="B6" i="1"/>
  <c r="D11" i="3" l="1"/>
  <c r="B7" i="1"/>
  <c r="D13" i="3"/>
  <c r="D14" i="3"/>
  <c r="D15" i="3"/>
  <c r="E18" i="1" l="1"/>
  <c r="E11" i="1"/>
  <c r="D15" i="1" l="1"/>
  <c r="D13" i="1"/>
  <c r="E13" i="1" s="1"/>
  <c r="D29" i="1"/>
  <c r="F29" i="1" s="1"/>
  <c r="D26" i="1"/>
  <c r="E26" i="1" s="1"/>
  <c r="D27" i="1"/>
  <c r="G27" i="1" s="1"/>
  <c r="E27" i="1"/>
  <c r="D28" i="1"/>
  <c r="E28" i="1" s="1"/>
  <c r="D25" i="1"/>
  <c r="F25" i="1" s="1"/>
  <c r="D22" i="1"/>
  <c r="E22" i="1" s="1"/>
  <c r="D21" i="1"/>
  <c r="H21" i="1" s="1"/>
  <c r="G19" i="1"/>
  <c r="D20" i="1"/>
  <c r="H20" i="1" s="1"/>
  <c r="F18" i="1"/>
  <c r="I18" i="1"/>
  <c r="H26" i="1" l="1"/>
  <c r="G22" i="1"/>
  <c r="F19" i="1"/>
  <c r="E19" i="1"/>
  <c r="H13" i="1"/>
  <c r="G21" i="1"/>
  <c r="I28" i="1"/>
  <c r="F21" i="1"/>
  <c r="E29" i="1"/>
  <c r="I29" i="1"/>
  <c r="H29" i="1"/>
  <c r="D12" i="1"/>
  <c r="H12" i="1" s="1"/>
  <c r="I20" i="1"/>
  <c r="H22" i="1"/>
  <c r="E25" i="1"/>
  <c r="G25" i="1"/>
  <c r="F20" i="1"/>
  <c r="I25" i="1"/>
  <c r="G20" i="1"/>
  <c r="I22" i="1"/>
  <c r="F22" i="1"/>
  <c r="F15" i="1"/>
  <c r="H15" i="1"/>
  <c r="I15" i="1"/>
  <c r="E15" i="1"/>
  <c r="G15" i="1"/>
  <c r="H18" i="1"/>
  <c r="G28" i="1"/>
  <c r="H28" i="1"/>
  <c r="F13" i="1"/>
  <c r="I27" i="1"/>
  <c r="E21" i="1"/>
  <c r="I19" i="1"/>
  <c r="F26" i="1"/>
  <c r="G26" i="1"/>
  <c r="E20" i="1"/>
  <c r="H25" i="1"/>
  <c r="G29" i="1"/>
  <c r="I13" i="1"/>
  <c r="I26" i="1"/>
  <c r="I21" i="1"/>
  <c r="G18" i="1"/>
  <c r="F28" i="1"/>
  <c r="G13" i="1"/>
  <c r="D14" i="1"/>
  <c r="F27" i="1"/>
  <c r="H27" i="1"/>
  <c r="H19" i="1"/>
  <c r="F12" i="1" l="1"/>
  <c r="I12" i="1"/>
  <c r="G12" i="1"/>
  <c r="E12" i="1"/>
  <c r="I11" i="1"/>
  <c r="G11" i="1"/>
  <c r="H11" i="1"/>
  <c r="F11" i="1"/>
  <c r="E14" i="1"/>
  <c r="H14" i="1"/>
  <c r="F14" i="1"/>
  <c r="I14" i="1"/>
  <c r="G14" i="1"/>
  <c r="D27" i="3"/>
  <c r="H27" i="3" s="1"/>
  <c r="I27" i="3"/>
  <c r="D30" i="3"/>
  <c r="F30" i="3" s="1"/>
  <c r="D28" i="3"/>
  <c r="E28" i="3" s="1"/>
  <c r="F28" i="3"/>
  <c r="D29" i="3"/>
  <c r="F29" i="3" s="1"/>
  <c r="H29" i="3"/>
  <c r="D26" i="3"/>
  <c r="H26" i="3" s="1"/>
  <c r="D22" i="3"/>
  <c r="E22" i="3" s="1"/>
  <c r="D21" i="3"/>
  <c r="G21" i="3" s="1"/>
  <c r="D23" i="3"/>
  <c r="D20" i="3"/>
  <c r="D19" i="3"/>
  <c r="B7" i="3"/>
  <c r="G20" i="3" s="1"/>
  <c r="E13" i="3"/>
  <c r="I26" i="3" l="1"/>
  <c r="E20" i="3"/>
  <c r="I15" i="3"/>
  <c r="E19" i="3"/>
  <c r="G15" i="3"/>
  <c r="I23" i="3"/>
  <c r="E15" i="3"/>
  <c r="E23" i="3"/>
  <c r="G23" i="3"/>
  <c r="G14" i="3"/>
  <c r="E11" i="3"/>
  <c r="H12" i="3"/>
  <c r="H13" i="3"/>
  <c r="H11" i="3"/>
  <c r="E12" i="3"/>
  <c r="I12" i="3"/>
  <c r="G12" i="3"/>
  <c r="I11" i="3"/>
  <c r="G11" i="3"/>
  <c r="F11" i="3"/>
  <c r="H19" i="3"/>
  <c r="F14" i="3"/>
  <c r="E14" i="3"/>
  <c r="H22" i="3"/>
  <c r="G28" i="3"/>
  <c r="I13" i="3"/>
  <c r="H20" i="3"/>
  <c r="F19" i="3"/>
  <c r="H23" i="3"/>
  <c r="F15" i="3"/>
  <c r="H15" i="3"/>
  <c r="H14" i="3"/>
  <c r="I19" i="3"/>
  <c r="I14" i="3"/>
  <c r="G19" i="3"/>
  <c r="F23" i="3"/>
  <c r="I30" i="3"/>
  <c r="G30" i="3"/>
  <c r="G26" i="3"/>
  <c r="G27" i="3"/>
  <c r="E27" i="3"/>
  <c r="I22" i="3"/>
  <c r="F22" i="3"/>
  <c r="H28" i="3"/>
  <c r="E30" i="3"/>
  <c r="H30" i="3"/>
  <c r="E26" i="3"/>
  <c r="F27" i="3"/>
  <c r="I21" i="3"/>
  <c r="E29" i="3"/>
  <c r="F21" i="3"/>
  <c r="I28" i="3"/>
  <c r="H21" i="3"/>
  <c r="E21" i="3"/>
  <c r="F26" i="3"/>
  <c r="I29" i="3"/>
  <c r="G22" i="3"/>
  <c r="G29" i="3"/>
  <c r="F13" i="3"/>
  <c r="G13" i="3"/>
  <c r="I20" i="3"/>
  <c r="F20" i="3"/>
  <c r="F12" i="3"/>
</calcChain>
</file>

<file path=xl/sharedStrings.xml><?xml version="1.0" encoding="utf-8"?>
<sst xmlns="http://schemas.openxmlformats.org/spreadsheetml/2006/main" count="80" uniqueCount="35">
  <si>
    <t>Fannie Mae (FNMA) - Share Price Scenarios</t>
  </si>
  <si>
    <t>SCENARIO A: Treasury Warrants CANCELLED (1.158B shares)</t>
  </si>
  <si>
    <t>Capital
Ratio</t>
  </si>
  <si>
    <t>IPO
Shares</t>
  </si>
  <si>
    <t>2.5%</t>
  </si>
  <si>
    <t>3.0%</t>
  </si>
  <si>
    <t>3.5%</t>
  </si>
  <si>
    <t>4.0%</t>
  </si>
  <si>
    <t>SCENARIO B: Treasury Warrants EXERCISED (5.77B shares before IPO)</t>
  </si>
  <si>
    <t>Freddie Mac (FMCC) - Share Price Scenarios</t>
  </si>
  <si>
    <t>• Freddie SPS liquidation preference is $140B (vs Fannie's $225B)</t>
  </si>
  <si>
    <t>Current Book Equity ($ bln)</t>
  </si>
  <si>
    <t>Adjusted Total Assets ($ bln)</t>
  </si>
  <si>
    <t>Current Shares (bln)</t>
  </si>
  <si>
    <t>Treasury Warrants (bln)</t>
  </si>
  <si>
    <t>SPS Liquidation Pref (bln)</t>
  </si>
  <si>
    <t>Capital Needed ($ bln)</t>
  </si>
  <si>
    <t>Capital Gap ($ bln)</t>
  </si>
  <si>
    <t>IPO Shares (bln)</t>
  </si>
  <si>
    <t>IPO P/B Valuation</t>
  </si>
  <si>
    <t>Post-IPO P/B Valuation</t>
  </si>
  <si>
    <t>SCENARIO A: Treasury Warrants CANCELLED (0.65B shares)</t>
  </si>
  <si>
    <t>IPO Price (Warrants CANCELLED)</t>
  </si>
  <si>
    <t>IPO Price (Warrants EXERCISED)</t>
  </si>
  <si>
    <t>Junior Pref FV (bln)</t>
  </si>
  <si>
    <t>Junior Converted Shares</t>
  </si>
  <si>
    <t>Senior Preferred Stock Remaining</t>
  </si>
  <si>
    <t>Junior IPO Conversion Ratio</t>
  </si>
  <si>
    <t>SCENARIO C: Treasury Warrants EXERCISED (5.77B shares before IPO) &amp; Junior Preferred Redeemed at Par</t>
  </si>
  <si>
    <t>SCENARIO C: Treasury Warrants EXERCISED (3.23B shares before IPO) &amp; Junior Pfd Redeemed at Par</t>
  </si>
  <si>
    <t>SCENARIO B: Treasury Warrants EXERCISED (3.23B shares before IPO) and Junior Pfd Converted</t>
  </si>
  <si>
    <t>• *Freddie Mac's Adjusted Total Assets estimated from proportional relationship to Fannie</t>
  </si>
  <si>
    <t xml:space="preserve">• SPS 0 to 100% represents extreme bull and bear cases and negotiated middle outcomes </t>
  </si>
  <si>
    <t>Source: SEC Filings, Company Presentations and Michael Burry's Estimates</t>
  </si>
  <si>
    <t>Capital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</si>
</sst>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164" formatCode="0.000"/>
    <numFmt numFmtId="165" formatCode="0.0"/>
    <numFmt numFmtId="166" formatCode="&quot;$&quot;#,##0"/>
    <numFmt numFmtId="167" formatCode="0.0%"/>
    <numFmt numFmtId="168" formatCode="0.00\x"/>
    <numFmt numFmtId="169" formatCode="&quot;$&quot;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1F4E79"/>
      <name val="Garamond"/>
      <family val="1"/>
    </font>
    <font>
      <sz val="11"/>
      <color theme="1"/>
      <name val="Garamond"/>
      <family val="1"/>
    </font>
    <font>
      <b/>
      <sz val="11"/>
      <name val="Garamond"/>
      <family val="1"/>
    </font>
    <font>
      <sz val="9"/>
      <name val="Garamond"/>
      <family val="1"/>
    </font>
    <font>
      <b/>
      <sz val="9"/>
      <color rgb="FF0000FF"/>
      <name val="Garamond"/>
      <family val="1"/>
    </font>
    <font>
      <sz val="9"/>
      <color theme="1"/>
      <name val="Garamond"/>
      <family val="1"/>
    </font>
    <font>
      <b/>
      <sz val="12"/>
      <color rgb="FF1F4E79"/>
      <name val="Garamond"/>
      <family val="1"/>
    </font>
    <font>
      <b/>
      <sz val="11"/>
      <color theme="1"/>
      <name val="Garamond"/>
      <family val="1"/>
    </font>
    <font>
      <b/>
      <sz val="10"/>
      <color rgb="FFFFFFFF"/>
      <name val="Garamond"/>
      <family val="1"/>
    </font>
    <font>
      <b/>
      <sz val="10"/>
      <name val="Garamond"/>
      <family val="1"/>
    </font>
    <font>
      <sz val="10"/>
      <name val="Garamond"/>
      <family val="1"/>
    </font>
    <font>
      <sz val="11"/>
      <name val="Garamond"/>
      <family val="1"/>
    </font>
    <font>
      <sz val="8"/>
      <color theme="1"/>
      <name val="Calibri"/>
      <family val="2"/>
      <scheme val="minor"/>
    </font>
    <font>
      <sz val="8"/>
      <color theme="1"/>
      <name val="Garamond"/>
      <family val="1"/>
    </font>
    <font>
      <sz val="8"/>
      <color rgb="FF666666"/>
      <name val="Garamond"/>
      <family val="1"/>
    </font>
    <font>
      <sz val="8"/>
      <name val="Garamond"/>
      <family val="1"/>
    </font>
    <font>
      <b/>
      <sz val="8"/>
      <color rgb="FF0000FF"/>
      <name val="Garamond"/>
      <family val="1"/>
    </font>
    <font>
      <sz val="8"/>
      <color rgb="FF0000FF"/>
      <name val="Garamond"/>
      <family val="1"/>
    </font>
    <font>
      <b/>
      <sz val="9"/>
      <color rgb="FF1F4E79"/>
      <name val="Garamond"/>
      <family val="1"/>
    </font>
    <font>
      <sz val="12"/>
      <color theme="1"/>
      <name val="Garamond"/>
      <family val="1"/>
    </font>
    <font>
      <b/>
      <strike/>
      <sz val="10"/>
      <name val="Garamond"/>
      <family val="1"/>
    </font>
    <font>
      <strike/>
      <sz val="10"/>
      <name val="Garamond"/>
      <family val="1"/>
    </font>
    <font>
      <strike/>
      <sz val="11"/>
      <name val="Garamond"/>
      <family val="1"/>
    </font>
    <font>
      <b/>
      <strike/>
      <sz val="11"/>
      <name val="Garamond"/>
      <family val="1"/>
    </font>
  </fonts>
  <fills count="1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D6E6F4"/>
        <bgColor rgb="FFD6E6F4"/>
      </patternFill>
    </fill>
    <fill>
      <patternFill patternType="solid">
        <fgColor rgb="FFC6EFCE"/>
        <bgColor rgb="FFC6EFCE"/>
      </patternFill>
    </fill>
    <fill>
      <patternFill patternType="solid">
        <fgColor rgb="FFE8E8E8"/>
        <bgColor rgb="FFE8E8E8"/>
      </patternFill>
    </fill>
    <fill>
      <patternFill patternType="solid">
        <fgColor rgb="FFD5E8D4"/>
        <bgColor rgb="FFD5E8D4"/>
      </patternFill>
    </fill>
    <fill>
      <patternFill patternType="solid">
        <fgColor rgb="FFBDD7EE"/>
        <bgColor rgb="FFBDD7EE"/>
      </patternFill>
    </fill>
    <fill>
      <patternFill patternType="solid">
        <fgColor theme="5"/>
        <bgColor rgb="FFFFEB9C"/>
      </patternFill>
    </fill>
    <fill>
      <patternFill patternType="solid">
        <fgColor theme="5"/>
        <bgColor rgb="FFC6EFCE"/>
      </patternFill>
    </fill>
    <fill>
      <patternFill patternType="solid">
        <fgColor theme="6" tint="0.59999389629810485"/>
        <bgColor rgb="FFC6EFCE"/>
      </patternFill>
    </fill>
    <fill>
      <patternFill patternType="solid">
        <fgColor theme="6" tint="0.59999389629810485"/>
        <bgColor rgb="FFFFEB9C"/>
      </patternFill>
    </fill>
    <fill>
      <patternFill patternType="solid">
        <fgColor rgb="FFC6F0CE"/>
        <bgColor rgb="FFFFEB9C"/>
      </patternFill>
    </fill>
  </fills>
  <borders count="6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/>
      <right/>
      <top/>
      <bottom style="thin">
        <color indexed="64"/>
      </bottom>
      <diagonal/>
    </border>
    <border>
      <left style="thin">
        <color rgb="FFB4B4B4"/>
      </left>
      <right style="thin">
        <color rgb="FFB4B4B4"/>
      </right>
      <top/>
      <bottom style="thin">
        <color rgb="FFB4B4B4"/>
      </bottom>
      <diagonal/>
    </border>
    <border>
      <left/>
      <right/>
      <top/>
      <bottom style="thin">
        <color rgb="FFB4B4B4"/>
      </bottom>
      <diagonal/>
    </border>
    <border>
      <left/>
      <right/>
      <top style="thin">
        <color rgb="FFB4B4B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6">
    <xf numFmtId="0" fontId="0" fillId="0" borderId="0" xfId="0"/>
    <xf numFmtId="0" fontId="10" fillId="2" borderId="1" xfId="0" applyFont="1" applyFill="1" applyBorder="1" applyAlignment="1">
      <alignment horizontal="center" wrapText="1"/>
    </xf>
    <xf numFmtId="9" fontId="10" fillId="2" borderId="3" xfId="0" applyNumberFormat="1" applyFont="1" applyFill="1" applyBorder="1" applyAlignment="1">
      <alignment horizontal="center" wrapText="1"/>
    </xf>
    <xf numFmtId="0" fontId="11" fillId="3" borderId="1" xfId="0" applyFont="1" applyFill="1" applyBorder="1" applyAlignment="1">
      <alignment horizontal="center"/>
    </xf>
    <xf numFmtId="165" fontId="11" fillId="3" borderId="1" xfId="0" applyNumberFormat="1" applyFont="1" applyFill="1" applyBorder="1" applyAlignment="1">
      <alignment horizontal="center"/>
    </xf>
    <xf numFmtId="165" fontId="12" fillId="3" borderId="1" xfId="0" applyNumberFormat="1" applyFont="1" applyFill="1" applyBorder="1" applyAlignment="1">
      <alignment horizontal="center"/>
    </xf>
    <xf numFmtId="2" fontId="12" fillId="3" borderId="1" xfId="0" applyNumberFormat="1" applyFont="1" applyFill="1" applyBorder="1" applyAlignment="1">
      <alignment horizontal="center"/>
    </xf>
    <xf numFmtId="166" fontId="13" fillId="4" borderId="1" xfId="0" applyNumberFormat="1" applyFont="1" applyFill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165" fontId="11" fillId="5" borderId="1" xfId="0" applyNumberFormat="1" applyFont="1" applyFill="1" applyBorder="1" applyAlignment="1">
      <alignment horizontal="center"/>
    </xf>
    <xf numFmtId="165" fontId="12" fillId="5" borderId="1" xfId="0" applyNumberFormat="1" applyFont="1" applyFill="1" applyBorder="1" applyAlignment="1">
      <alignment horizontal="center"/>
    </xf>
    <xf numFmtId="2" fontId="12" fillId="5" borderId="1" xfId="0" applyNumberFormat="1" applyFont="1" applyFill="1" applyBorder="1" applyAlignment="1">
      <alignment horizontal="center"/>
    </xf>
    <xf numFmtId="10" fontId="11" fillId="3" borderId="1" xfId="0" applyNumberFormat="1" applyFont="1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166" fontId="13" fillId="8" borderId="1" xfId="0" applyNumberFormat="1" applyFont="1" applyFill="1" applyBorder="1" applyAlignment="1">
      <alignment horizontal="center"/>
    </xf>
    <xf numFmtId="166" fontId="4" fillId="8" borderId="1" xfId="0" applyNumberFormat="1" applyFont="1" applyFill="1" applyBorder="1" applyAlignment="1">
      <alignment horizontal="center"/>
    </xf>
    <xf numFmtId="166" fontId="13" fillId="9" borderId="1" xfId="0" applyNumberFormat="1" applyFont="1" applyFill="1" applyBorder="1" applyAlignment="1">
      <alignment horizontal="center"/>
    </xf>
    <xf numFmtId="166" fontId="13" fillId="12" borderId="1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 wrapText="1"/>
    </xf>
    <xf numFmtId="0" fontId="5" fillId="0" borderId="0" xfId="0" applyFont="1"/>
    <xf numFmtId="0" fontId="6" fillId="0" borderId="0" xfId="0" applyFont="1"/>
    <xf numFmtId="44" fontId="7" fillId="0" borderId="0" xfId="1" applyFont="1" applyBorder="1"/>
    <xf numFmtId="164" fontId="6" fillId="0" borderId="0" xfId="0" applyNumberFormat="1" applyFont="1"/>
    <xf numFmtId="0" fontId="7" fillId="0" borderId="0" xfId="0" applyFont="1"/>
    <xf numFmtId="0" fontId="17" fillId="0" borderId="0" xfId="0" applyFont="1"/>
    <xf numFmtId="0" fontId="18" fillId="0" borderId="0" xfId="0" applyFont="1"/>
    <xf numFmtId="44" fontId="15" fillId="0" borderId="0" xfId="1" applyFont="1"/>
    <xf numFmtId="164" fontId="19" fillId="0" borderId="0" xfId="0" applyNumberFormat="1" applyFont="1"/>
    <xf numFmtId="0" fontId="22" fillId="5" borderId="1" xfId="0" applyFont="1" applyFill="1" applyBorder="1" applyAlignment="1">
      <alignment horizontal="center"/>
    </xf>
    <xf numFmtId="165" fontId="22" fillId="5" borderId="1" xfId="0" applyNumberFormat="1" applyFont="1" applyFill="1" applyBorder="1" applyAlignment="1">
      <alignment horizontal="center"/>
    </xf>
    <xf numFmtId="165" fontId="23" fillId="5" borderId="1" xfId="0" applyNumberFormat="1" applyFont="1" applyFill="1" applyBorder="1" applyAlignment="1">
      <alignment horizontal="center"/>
    </xf>
    <xf numFmtId="2" fontId="23" fillId="5" borderId="1" xfId="0" applyNumberFormat="1" applyFont="1" applyFill="1" applyBorder="1" applyAlignment="1">
      <alignment horizontal="center"/>
    </xf>
    <xf numFmtId="166" fontId="24" fillId="4" borderId="1" xfId="0" applyNumberFormat="1" applyFont="1" applyFill="1" applyBorder="1" applyAlignment="1">
      <alignment horizontal="center"/>
    </xf>
    <xf numFmtId="166" fontId="24" fillId="9" borderId="1" xfId="0" applyNumberFormat="1" applyFont="1" applyFill="1" applyBorder="1" applyAlignment="1">
      <alignment horizontal="center"/>
    </xf>
    <xf numFmtId="0" fontId="22" fillId="6" borderId="1" xfId="0" applyFont="1" applyFill="1" applyBorder="1" applyAlignment="1">
      <alignment horizontal="center"/>
    </xf>
    <xf numFmtId="165" fontId="22" fillId="6" borderId="1" xfId="0" applyNumberFormat="1" applyFont="1" applyFill="1" applyBorder="1" applyAlignment="1">
      <alignment horizontal="center"/>
    </xf>
    <xf numFmtId="165" fontId="23" fillId="6" borderId="1" xfId="0" applyNumberFormat="1" applyFont="1" applyFill="1" applyBorder="1" applyAlignment="1">
      <alignment horizontal="center"/>
    </xf>
    <xf numFmtId="2" fontId="23" fillId="6" borderId="1" xfId="0" applyNumberFormat="1" applyFont="1" applyFill="1" applyBorder="1" applyAlignment="1">
      <alignment horizontal="center"/>
    </xf>
    <xf numFmtId="0" fontId="22" fillId="7" borderId="1" xfId="0" applyFont="1" applyFill="1" applyBorder="1" applyAlignment="1">
      <alignment horizontal="center"/>
    </xf>
    <xf numFmtId="165" fontId="22" fillId="7" borderId="1" xfId="0" applyNumberFormat="1" applyFont="1" applyFill="1" applyBorder="1" applyAlignment="1">
      <alignment horizontal="center"/>
    </xf>
    <xf numFmtId="165" fontId="23" fillId="7" borderId="1" xfId="0" applyNumberFormat="1" applyFont="1" applyFill="1" applyBorder="1" applyAlignment="1">
      <alignment horizontal="center"/>
    </xf>
    <xf numFmtId="2" fontId="23" fillId="7" borderId="1" xfId="0" applyNumberFormat="1" applyFont="1" applyFill="1" applyBorder="1" applyAlignment="1">
      <alignment horizontal="center"/>
    </xf>
    <xf numFmtId="166" fontId="24" fillId="12" borderId="1" xfId="0" applyNumberFormat="1" applyFont="1" applyFill="1" applyBorder="1" applyAlignment="1">
      <alignment horizontal="center"/>
    </xf>
    <xf numFmtId="166" fontId="24" fillId="11" borderId="1" xfId="0" applyNumberFormat="1" applyFont="1" applyFill="1" applyBorder="1" applyAlignment="1">
      <alignment horizontal="center"/>
    </xf>
    <xf numFmtId="166" fontId="24" fillId="8" borderId="1" xfId="0" applyNumberFormat="1" applyFont="1" applyFill="1" applyBorder="1" applyAlignment="1">
      <alignment horizontal="center"/>
    </xf>
    <xf numFmtId="165" fontId="22" fillId="3" borderId="1" xfId="0" applyNumberFormat="1" applyFont="1" applyFill="1" applyBorder="1" applyAlignment="1">
      <alignment horizontal="center"/>
    </xf>
    <xf numFmtId="165" fontId="23" fillId="3" borderId="1" xfId="0" applyNumberFormat="1" applyFont="1" applyFill="1" applyBorder="1" applyAlignment="1">
      <alignment horizontal="center"/>
    </xf>
    <xf numFmtId="2" fontId="23" fillId="3" borderId="1" xfId="0" applyNumberFormat="1" applyFont="1" applyFill="1" applyBorder="1" applyAlignment="1">
      <alignment horizontal="center"/>
    </xf>
    <xf numFmtId="166" fontId="25" fillId="8" borderId="1" xfId="0" applyNumberFormat="1" applyFont="1" applyFill="1" applyBorder="1" applyAlignment="1">
      <alignment horizontal="center"/>
    </xf>
    <xf numFmtId="167" fontId="11" fillId="3" borderId="1" xfId="0" applyNumberFormat="1" applyFont="1" applyFill="1" applyBorder="1" applyAlignment="1">
      <alignment horizontal="center"/>
    </xf>
    <xf numFmtId="167" fontId="22" fillId="3" borderId="1" xfId="0" applyNumberFormat="1" applyFont="1" applyFill="1" applyBorder="1" applyAlignment="1">
      <alignment horizontal="center"/>
    </xf>
    <xf numFmtId="167" fontId="22" fillId="3" borderId="1" xfId="2" applyNumberFormat="1" applyFont="1" applyFill="1" applyBorder="1" applyAlignment="1">
      <alignment horizontal="center"/>
    </xf>
    <xf numFmtId="167" fontId="22" fillId="5" borderId="1" xfId="0" applyNumberFormat="1" applyFont="1" applyFill="1" applyBorder="1" applyAlignment="1">
      <alignment horizontal="center"/>
    </xf>
    <xf numFmtId="167" fontId="22" fillId="6" borderId="1" xfId="0" applyNumberFormat="1" applyFont="1" applyFill="1" applyBorder="1" applyAlignment="1">
      <alignment horizontal="center"/>
    </xf>
    <xf numFmtId="167" fontId="22" fillId="7" borderId="1" xfId="0" applyNumberFormat="1" applyFont="1" applyFill="1" applyBorder="1" applyAlignment="1">
      <alignment horizontal="center"/>
    </xf>
    <xf numFmtId="168" fontId="18" fillId="0" borderId="0" xfId="0" applyNumberFormat="1" applyFont="1"/>
    <xf numFmtId="169" fontId="24" fillId="12" borderId="1" xfId="0" applyNumberFormat="1" applyFont="1" applyFill="1" applyBorder="1" applyAlignment="1">
      <alignment horizontal="center"/>
    </xf>
    <xf numFmtId="169" fontId="24" fillId="8" borderId="1" xfId="0" applyNumberFormat="1" applyFont="1" applyFill="1" applyBorder="1" applyAlignment="1">
      <alignment horizontal="center"/>
    </xf>
    <xf numFmtId="169" fontId="13" fillId="12" borderId="1" xfId="0" applyNumberFormat="1" applyFont="1" applyFill="1" applyBorder="1" applyAlignment="1">
      <alignment horizontal="center"/>
    </xf>
    <xf numFmtId="169" fontId="13" fillId="8" borderId="1" xfId="0" applyNumberFormat="1" applyFont="1" applyFill="1" applyBorder="1" applyAlignment="1">
      <alignment horizontal="center"/>
    </xf>
    <xf numFmtId="169" fontId="13" fillId="11" borderId="1" xfId="0" applyNumberFormat="1" applyFont="1" applyFill="1" applyBorder="1" applyAlignment="1">
      <alignment horizontal="center"/>
    </xf>
    <xf numFmtId="169" fontId="24" fillId="11" borderId="1" xfId="0" applyNumberFormat="1" applyFont="1" applyFill="1" applyBorder="1" applyAlignment="1">
      <alignment horizontal="center"/>
    </xf>
    <xf numFmtId="169" fontId="25" fillId="8" borderId="1" xfId="0" applyNumberFormat="1" applyFont="1" applyFill="1" applyBorder="1" applyAlignment="1">
      <alignment horizontal="center"/>
    </xf>
    <xf numFmtId="169" fontId="24" fillId="4" borderId="1" xfId="0" applyNumberFormat="1" applyFont="1" applyFill="1" applyBorder="1" applyAlignment="1">
      <alignment horizontal="center"/>
    </xf>
    <xf numFmtId="169" fontId="24" fillId="9" borderId="1" xfId="0" applyNumberFormat="1" applyFont="1" applyFill="1" applyBorder="1" applyAlignment="1">
      <alignment horizontal="center"/>
    </xf>
    <xf numFmtId="169" fontId="13" fillId="4" borderId="1" xfId="0" applyNumberFormat="1" applyFont="1" applyFill="1" applyBorder="1" applyAlignment="1">
      <alignment horizontal="center"/>
    </xf>
    <xf numFmtId="169" fontId="13" fillId="9" borderId="1" xfId="0" applyNumberFormat="1" applyFont="1" applyFill="1" applyBorder="1" applyAlignment="1">
      <alignment horizontal="center"/>
    </xf>
    <xf numFmtId="169" fontId="24" fillId="10" borderId="1" xfId="0" applyNumberFormat="1" applyFont="1" applyFill="1" applyBorder="1" applyAlignment="1">
      <alignment horizontal="center"/>
    </xf>
    <xf numFmtId="168" fontId="6" fillId="0" borderId="0" xfId="0" applyNumberFormat="1" applyFont="1"/>
    <xf numFmtId="0" fontId="15" fillId="0" borderId="5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21" fillId="0" borderId="0" xfId="0" applyFont="1"/>
    <xf numFmtId="0" fontId="16" fillId="0" borderId="0" xfId="0" applyFont="1"/>
    <xf numFmtId="0" fontId="15" fillId="0" borderId="0" xfId="0" applyFont="1"/>
    <xf numFmtId="0" fontId="2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9" fillId="0" borderId="0" xfId="0" applyFont="1" applyAlignment="1">
      <alignment horizontal="center"/>
    </xf>
    <xf numFmtId="0" fontId="15" fillId="0" borderId="5" xfId="0" applyFont="1" applyBorder="1" applyAlignment="1">
      <alignment horizontal="left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C6F0CE"/>
      <color rgb="FF0000FF"/>
      <color rgb="FFFFEC9C"/>
      <color rgb="FFE066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>
      <selection sqref="A1:I1"/>
    </sheetView>
  </sheetViews>
  <sheetFormatPr defaultColWidth="8.85546875" defaultRowHeight="15" x14ac:dyDescent="0.25"/>
  <cols>
    <col min="1" max="1" width="19.140625" customWidth="1"/>
    <col min="2" max="2" width="13.42578125" bestFit="1" customWidth="1"/>
    <col min="3" max="3" width="10.28515625" bestFit="1" customWidth="1"/>
    <col min="4" max="4" width="23.85546875" customWidth="1"/>
    <col min="5" max="5" width="7.42578125" customWidth="1"/>
    <col min="6" max="6" width="6" customWidth="1"/>
    <col min="7" max="7" width="6.140625" customWidth="1"/>
    <col min="8" max="8" width="5.28515625" customWidth="1"/>
    <col min="9" max="9" width="6.42578125" customWidth="1"/>
  </cols>
  <sheetData>
    <row r="1" spans="1:9" ht="15.75" x14ac:dyDescent="0.25">
      <c r="A1" s="74" t="s">
        <v>0</v>
      </c>
      <c r="B1" s="74"/>
      <c r="C1" s="75"/>
      <c r="D1" s="75"/>
      <c r="E1" s="75"/>
      <c r="F1" s="75"/>
      <c r="G1" s="75"/>
      <c r="H1" s="75"/>
      <c r="I1" s="75"/>
    </row>
    <row r="2" spans="1:9" x14ac:dyDescent="0.25">
      <c r="A2" s="26" t="s">
        <v>11</v>
      </c>
      <c r="B2" s="27">
        <v>105.5</v>
      </c>
      <c r="C2" s="72"/>
      <c r="D2" s="26" t="s">
        <v>15</v>
      </c>
      <c r="E2" s="27">
        <v>225</v>
      </c>
      <c r="F2" s="73"/>
      <c r="G2" s="73"/>
      <c r="H2" s="73"/>
      <c r="I2" s="73"/>
    </row>
    <row r="3" spans="1:9" x14ac:dyDescent="0.25">
      <c r="A3" s="26" t="s">
        <v>12</v>
      </c>
      <c r="B3" s="27">
        <v>4443</v>
      </c>
      <c r="C3" s="72"/>
      <c r="D3" s="26" t="s">
        <v>19</v>
      </c>
      <c r="E3" s="57">
        <v>1.25</v>
      </c>
      <c r="F3" s="73"/>
      <c r="G3" s="73"/>
      <c r="H3" s="73"/>
      <c r="I3" s="73"/>
    </row>
    <row r="4" spans="1:9" x14ac:dyDescent="0.25">
      <c r="A4" s="26" t="s">
        <v>24</v>
      </c>
      <c r="B4" s="27">
        <v>19.100000000000001</v>
      </c>
      <c r="C4" s="72"/>
      <c r="D4" s="26" t="s">
        <v>22</v>
      </c>
      <c r="E4" s="28">
        <f>((E3*B2)-(B4/E7))/B5</f>
        <v>97.387737478411069</v>
      </c>
      <c r="F4" s="73"/>
      <c r="G4" s="73"/>
      <c r="H4" s="73"/>
      <c r="I4" s="73"/>
    </row>
    <row r="5" spans="1:9" x14ac:dyDescent="0.25">
      <c r="A5" s="26" t="s">
        <v>13</v>
      </c>
      <c r="B5" s="27">
        <v>1.1579999999999999</v>
      </c>
      <c r="C5" s="72"/>
      <c r="D5" s="26" t="s">
        <v>23</v>
      </c>
      <c r="E5" s="28">
        <f>((E3*B2)-(B4/E7))/(B5+B6)</f>
        <v>19.574935233160627</v>
      </c>
      <c r="F5" s="73"/>
      <c r="G5" s="73"/>
      <c r="H5" s="73"/>
      <c r="I5" s="73"/>
    </row>
    <row r="6" spans="1:9" x14ac:dyDescent="0.25">
      <c r="A6" s="26" t="s">
        <v>14</v>
      </c>
      <c r="B6" s="29">
        <f>0.799*(B5/0.201)</f>
        <v>4.6031940298507461</v>
      </c>
      <c r="C6" s="72"/>
      <c r="D6" s="26" t="s">
        <v>20</v>
      </c>
      <c r="E6" s="57">
        <v>2.2000000000000002</v>
      </c>
      <c r="F6" s="73"/>
      <c r="G6" s="73"/>
      <c r="H6" s="73"/>
      <c r="I6" s="73"/>
    </row>
    <row r="7" spans="1:9" x14ac:dyDescent="0.25">
      <c r="A7" s="26" t="s">
        <v>25</v>
      </c>
      <c r="B7" s="29">
        <f>(B4/(E7*E5))</f>
        <v>0.97573758341963412</v>
      </c>
      <c r="C7" s="72"/>
      <c r="D7" s="26" t="s">
        <v>27</v>
      </c>
      <c r="E7" s="14">
        <v>1</v>
      </c>
      <c r="F7" s="73"/>
      <c r="G7" s="73"/>
      <c r="H7" s="73"/>
      <c r="I7" s="73"/>
    </row>
    <row r="8" spans="1:9" x14ac:dyDescent="0.25">
      <c r="A8" s="78" t="s">
        <v>1</v>
      </c>
      <c r="B8" s="78"/>
      <c r="C8" s="78"/>
      <c r="D8" s="78"/>
      <c r="E8" s="78"/>
      <c r="F8" s="78"/>
      <c r="G8" s="78"/>
      <c r="H8" s="78"/>
      <c r="I8" s="78"/>
    </row>
    <row r="9" spans="1:9" x14ac:dyDescent="0.25">
      <c r="A9" s="80"/>
      <c r="B9" s="80"/>
      <c r="C9" s="80"/>
      <c r="D9" s="80"/>
      <c r="E9" s="81" t="s">
        <v>26</v>
      </c>
      <c r="F9" s="81"/>
      <c r="G9" s="81"/>
      <c r="H9" s="81"/>
      <c r="I9" s="81"/>
    </row>
    <row r="10" spans="1:9" ht="26.25" x14ac:dyDescent="0.25">
      <c r="A10" s="1" t="s">
        <v>34</v>
      </c>
      <c r="B10" s="1" t="s">
        <v>16</v>
      </c>
      <c r="C10" s="1" t="s">
        <v>17</v>
      </c>
      <c r="D10" s="1" t="s">
        <v>3</v>
      </c>
      <c r="E10" s="2">
        <v>0</v>
      </c>
      <c r="F10" s="2">
        <v>0.25</v>
      </c>
      <c r="G10" s="2">
        <v>0.5</v>
      </c>
      <c r="H10" s="2">
        <v>0.75</v>
      </c>
      <c r="I10" s="2">
        <v>1</v>
      </c>
    </row>
    <row r="11" spans="1:9" x14ac:dyDescent="0.25">
      <c r="A11" s="52">
        <v>0.02</v>
      </c>
      <c r="B11" s="47">
        <f>A11*$B$3</f>
        <v>88.86</v>
      </c>
      <c r="C11" s="48">
        <f>B11-$B$2</f>
        <v>-16.64</v>
      </c>
      <c r="D11" s="49">
        <v>0</v>
      </c>
      <c r="E11" s="65">
        <f t="shared" ref="E11:I15" si="0">MAX($E$6*($B$2+$C11-(E$10*$E$2))/($D11+$B$5+$B$7),0)</f>
        <v>91.619513814203344</v>
      </c>
      <c r="F11" s="65">
        <f t="shared" si="0"/>
        <v>33.622691261323105</v>
      </c>
      <c r="G11" s="66">
        <f t="shared" si="0"/>
        <v>0</v>
      </c>
      <c r="H11" s="66">
        <f t="shared" si="0"/>
        <v>0</v>
      </c>
      <c r="I11" s="66">
        <f t="shared" si="0"/>
        <v>0</v>
      </c>
    </row>
    <row r="12" spans="1:9" x14ac:dyDescent="0.25">
      <c r="A12" s="3" t="s">
        <v>4</v>
      </c>
      <c r="B12" s="4">
        <f>A12*$B$3</f>
        <v>111.075</v>
      </c>
      <c r="C12" s="5">
        <f t="shared" ref="C12:C15" si="1">B12-$B$2</f>
        <v>5.5750000000000028</v>
      </c>
      <c r="D12" s="6">
        <f>C12/E4</f>
        <v>5.7245400133008224E-2</v>
      </c>
      <c r="E12" s="67">
        <f t="shared" si="0"/>
        <v>111.53213047951941</v>
      </c>
      <c r="F12" s="67">
        <f t="shared" si="0"/>
        <v>55.050632937561566</v>
      </c>
      <c r="G12" s="68">
        <f t="shared" si="0"/>
        <v>0</v>
      </c>
      <c r="H12" s="68">
        <f t="shared" si="0"/>
        <v>0</v>
      </c>
      <c r="I12" s="68">
        <f t="shared" si="0"/>
        <v>0</v>
      </c>
    </row>
    <row r="13" spans="1:9" x14ac:dyDescent="0.25">
      <c r="A13" s="8" t="s">
        <v>5</v>
      </c>
      <c r="B13" s="9">
        <f>A13*B3</f>
        <v>133.29</v>
      </c>
      <c r="C13" s="5">
        <f t="shared" si="1"/>
        <v>27.789999999999992</v>
      </c>
      <c r="D13" s="11">
        <f>C13/E4</f>
        <v>0.28535420084238516</v>
      </c>
      <c r="E13" s="67">
        <f t="shared" si="0"/>
        <v>121.21821995665069</v>
      </c>
      <c r="F13" s="67">
        <f t="shared" si="0"/>
        <v>70.062657854755557</v>
      </c>
      <c r="G13" s="67">
        <f t="shared" si="0"/>
        <v>18.907095752860432</v>
      </c>
      <c r="H13" s="68">
        <f t="shared" si="0"/>
        <v>0</v>
      </c>
      <c r="I13" s="68">
        <f t="shared" si="0"/>
        <v>0</v>
      </c>
    </row>
    <row r="14" spans="1:9" x14ac:dyDescent="0.25">
      <c r="A14" s="36" t="s">
        <v>6</v>
      </c>
      <c r="B14" s="37">
        <f>A14*B3</f>
        <v>155.50500000000002</v>
      </c>
      <c r="C14" s="48">
        <f t="shared" si="1"/>
        <v>50.005000000000024</v>
      </c>
      <c r="D14" s="39">
        <f>C14/E4</f>
        <v>0.5134630015517625</v>
      </c>
      <c r="E14" s="65">
        <f t="shared" si="0"/>
        <v>129.23501223980603</v>
      </c>
      <c r="F14" s="65">
        <f t="shared" si="0"/>
        <v>82.487515770309301</v>
      </c>
      <c r="G14" s="65">
        <f t="shared" si="0"/>
        <v>35.740019300812577</v>
      </c>
      <c r="H14" s="66">
        <f t="shared" si="0"/>
        <v>0</v>
      </c>
      <c r="I14" s="66">
        <f t="shared" si="0"/>
        <v>0</v>
      </c>
    </row>
    <row r="15" spans="1:9" x14ac:dyDescent="0.25">
      <c r="A15" s="40" t="s">
        <v>7</v>
      </c>
      <c r="B15" s="41">
        <f>A15*B3</f>
        <v>177.72</v>
      </c>
      <c r="C15" s="48">
        <f t="shared" si="1"/>
        <v>72.22</v>
      </c>
      <c r="D15" s="43">
        <f>C15/E4</f>
        <v>0.74157180226113928</v>
      </c>
      <c r="E15" s="65">
        <f t="shared" si="0"/>
        <v>135.97980166834415</v>
      </c>
      <c r="F15" s="65">
        <f t="shared" si="0"/>
        <v>92.940954921526938</v>
      </c>
      <c r="G15" s="65">
        <f t="shared" si="0"/>
        <v>49.902108174709689</v>
      </c>
      <c r="H15" s="69">
        <f t="shared" si="0"/>
        <v>6.8632614278924544</v>
      </c>
      <c r="I15" s="66">
        <f t="shared" si="0"/>
        <v>0</v>
      </c>
    </row>
    <row r="16" spans="1:9" x14ac:dyDescent="0.25">
      <c r="A16" s="78" t="s">
        <v>8</v>
      </c>
      <c r="B16" s="78"/>
      <c r="C16" s="79"/>
      <c r="D16" s="79"/>
      <c r="E16" s="79"/>
      <c r="F16" s="79"/>
      <c r="G16" s="79"/>
      <c r="H16" s="79"/>
      <c r="I16" s="79"/>
    </row>
    <row r="17" spans="1:9" ht="26.25" x14ac:dyDescent="0.25">
      <c r="A17" s="1" t="s">
        <v>34</v>
      </c>
      <c r="B17" s="1" t="s">
        <v>16</v>
      </c>
      <c r="C17" s="1" t="s">
        <v>17</v>
      </c>
      <c r="D17" s="1" t="s">
        <v>18</v>
      </c>
      <c r="E17" s="2">
        <f>E10</f>
        <v>0</v>
      </c>
      <c r="F17" s="2">
        <f>F10</f>
        <v>0.25</v>
      </c>
      <c r="G17" s="2">
        <f>G10</f>
        <v>0.5</v>
      </c>
      <c r="H17" s="2">
        <f>H10</f>
        <v>0.75</v>
      </c>
      <c r="I17" s="2">
        <f>I10</f>
        <v>1</v>
      </c>
    </row>
    <row r="18" spans="1:9" x14ac:dyDescent="0.25">
      <c r="A18" s="53">
        <v>0.02</v>
      </c>
      <c r="B18" s="47">
        <f>A18*B3</f>
        <v>88.86</v>
      </c>
      <c r="C18" s="48">
        <f>B18-$B$2</f>
        <v>-16.64</v>
      </c>
      <c r="D18" s="49">
        <v>0</v>
      </c>
      <c r="E18" s="58">
        <f>MAX($E$6*($B$2+(MAX(C18,0))-(E$17*$E$2))/(($B$5+$B$6+$B$7+$D18)),0)</f>
        <v>34.451886010362699</v>
      </c>
      <c r="F18" s="58">
        <f t="shared" ref="F18:I22" si="2">MAX($E$6*($B$2+$C18-(F$17*$E$2))/(($B$5+$B$6+$B$7+$D18)),0)</f>
        <v>10.649061637895048</v>
      </c>
      <c r="G18" s="59">
        <f t="shared" si="2"/>
        <v>0</v>
      </c>
      <c r="H18" s="59">
        <f t="shared" si="2"/>
        <v>0</v>
      </c>
      <c r="I18" s="59">
        <f t="shared" si="2"/>
        <v>0</v>
      </c>
    </row>
    <row r="19" spans="1:9" x14ac:dyDescent="0.25">
      <c r="A19" s="3" t="s">
        <v>4</v>
      </c>
      <c r="B19" s="4">
        <f>A19*B3</f>
        <v>111.075</v>
      </c>
      <c r="C19" s="5">
        <f>B19-B2</f>
        <v>5.5750000000000028</v>
      </c>
      <c r="D19" s="6">
        <f>C19/$E$5</f>
        <v>0.28480298573635926</v>
      </c>
      <c r="E19" s="60">
        <f>MAX($E$6*($B$2+$C19-(E$17*$E$2))/(($B$5+$B$6+$B$7+$D19)),0)</f>
        <v>34.801229889059996</v>
      </c>
      <c r="F19" s="60">
        <f t="shared" si="2"/>
        <v>17.177379506348991</v>
      </c>
      <c r="G19" s="61">
        <f t="shared" si="2"/>
        <v>0</v>
      </c>
      <c r="H19" s="61">
        <f t="shared" si="2"/>
        <v>0</v>
      </c>
      <c r="I19" s="61">
        <f t="shared" si="2"/>
        <v>0</v>
      </c>
    </row>
    <row r="20" spans="1:9" x14ac:dyDescent="0.25">
      <c r="A20" s="8" t="s">
        <v>5</v>
      </c>
      <c r="B20" s="9">
        <f>A20*B3</f>
        <v>133.29</v>
      </c>
      <c r="C20" s="10">
        <f>B20-B2</f>
        <v>27.789999999999992</v>
      </c>
      <c r="D20" s="11">
        <f>C20/E5</f>
        <v>1.4196726410068912</v>
      </c>
      <c r="E20" s="60">
        <f>MAX($E$6*($B$2+$C20-(E$17*$E$2))/(($B$5+$B$6+$B$7+$D20)),0)</f>
        <v>35.950990247715879</v>
      </c>
      <c r="F20" s="60">
        <f t="shared" si="2"/>
        <v>20.779235416640642</v>
      </c>
      <c r="G20" s="62">
        <f t="shared" si="2"/>
        <v>5.6074805855654049</v>
      </c>
      <c r="H20" s="61">
        <f t="shared" si="2"/>
        <v>0</v>
      </c>
      <c r="I20" s="61">
        <f t="shared" si="2"/>
        <v>0</v>
      </c>
    </row>
    <row r="21" spans="1:9" x14ac:dyDescent="0.25">
      <c r="A21" s="36" t="s">
        <v>6</v>
      </c>
      <c r="B21" s="37">
        <f>A21*B3</f>
        <v>155.50500000000002</v>
      </c>
      <c r="C21" s="38">
        <f>B21-B2</f>
        <v>50.005000000000024</v>
      </c>
      <c r="D21" s="39">
        <f>C21/E5</f>
        <v>2.5545422962774254</v>
      </c>
      <c r="E21" s="58">
        <f>MAX($E$6*($B$2+$C21-(E$17*$E$2))/(($B$5+$B$6+$B$7+$D21)),0)</f>
        <v>36.819884910665365</v>
      </c>
      <c r="F21" s="58">
        <f t="shared" si="2"/>
        <v>23.501222962657732</v>
      </c>
      <c r="G21" s="63">
        <f t="shared" si="2"/>
        <v>10.182561014650105</v>
      </c>
      <c r="H21" s="64">
        <f t="shared" si="2"/>
        <v>0</v>
      </c>
      <c r="I21" s="64">
        <f t="shared" si="2"/>
        <v>0</v>
      </c>
    </row>
    <row r="22" spans="1:9" x14ac:dyDescent="0.25">
      <c r="A22" s="40" t="s">
        <v>7</v>
      </c>
      <c r="B22" s="41">
        <f>A22*B3</f>
        <v>177.72</v>
      </c>
      <c r="C22" s="42">
        <f>B22-B2</f>
        <v>72.22</v>
      </c>
      <c r="D22" s="43">
        <f>C22/E5</f>
        <v>3.6894119515479562</v>
      </c>
      <c r="E22" s="58">
        <f>MAX($E$6*($B$2+$C22-(E$17*$E$2))/(($B$5+$B$6+$B$7+$D22)),0)</f>
        <v>37.499627512688086</v>
      </c>
      <c r="F22" s="58">
        <f t="shared" si="2"/>
        <v>25.630653578473002</v>
      </c>
      <c r="G22" s="58">
        <f t="shared" si="2"/>
        <v>13.761679644257917</v>
      </c>
      <c r="H22" s="63">
        <f t="shared" si="2"/>
        <v>1.8927057100428319</v>
      </c>
      <c r="I22" s="59">
        <f t="shared" si="2"/>
        <v>0</v>
      </c>
    </row>
    <row r="23" spans="1:9" x14ac:dyDescent="0.25">
      <c r="A23" s="78" t="s">
        <v>28</v>
      </c>
      <c r="B23" s="78"/>
      <c r="C23" s="79"/>
      <c r="D23" s="79"/>
      <c r="E23" s="79"/>
      <c r="F23" s="79"/>
      <c r="G23" s="79"/>
      <c r="H23" s="79"/>
      <c r="I23" s="79"/>
    </row>
    <row r="24" spans="1:9" ht="26.25" x14ac:dyDescent="0.25">
      <c r="A24" s="1" t="s">
        <v>34</v>
      </c>
      <c r="B24" s="1" t="s">
        <v>16</v>
      </c>
      <c r="C24" s="1" t="s">
        <v>17</v>
      </c>
      <c r="D24" s="1" t="s">
        <v>18</v>
      </c>
      <c r="E24" s="2">
        <f>E17</f>
        <v>0</v>
      </c>
      <c r="F24" s="2">
        <f t="shared" ref="F24:I24" si="3">F17</f>
        <v>0.25</v>
      </c>
      <c r="G24" s="2">
        <f t="shared" si="3"/>
        <v>0.5</v>
      </c>
      <c r="H24" s="2">
        <f t="shared" si="3"/>
        <v>0.75</v>
      </c>
      <c r="I24" s="2">
        <f t="shared" si="3"/>
        <v>1</v>
      </c>
    </row>
    <row r="25" spans="1:9" x14ac:dyDescent="0.25">
      <c r="A25" s="51">
        <v>0.02</v>
      </c>
      <c r="B25" s="4">
        <f>A25*B3</f>
        <v>88.86</v>
      </c>
      <c r="C25" s="5">
        <f>B25-(B2-B4)</f>
        <v>2.4599999999999937</v>
      </c>
      <c r="D25" s="6">
        <f>C25/$E$5</f>
        <v>0.12567091388546039</v>
      </c>
      <c r="E25" s="60">
        <f t="shared" ref="E25:I29" si="4">MAX($E$6*(($B$2-$B$4)+$C25-(E$17*$E$2))/(($B$5+$B$6+$D25)),0)</f>
        <v>33.208167992372431</v>
      </c>
      <c r="F25" s="60">
        <f t="shared" si="4"/>
        <v>12.186792237578945</v>
      </c>
      <c r="G25" s="61">
        <f t="shared" si="4"/>
        <v>0</v>
      </c>
      <c r="H25" s="61">
        <f t="shared" si="4"/>
        <v>0</v>
      </c>
      <c r="I25" s="61">
        <f t="shared" si="4"/>
        <v>0</v>
      </c>
    </row>
    <row r="26" spans="1:9" x14ac:dyDescent="0.25">
      <c r="A26" s="3" t="s">
        <v>4</v>
      </c>
      <c r="B26" s="4">
        <f>A26*B3</f>
        <v>111.075</v>
      </c>
      <c r="C26" s="5">
        <f>B26-(B2-B4)</f>
        <v>24.674999999999997</v>
      </c>
      <c r="D26" s="6">
        <f>C26/$E$5</f>
        <v>1.260540569155993</v>
      </c>
      <c r="E26" s="60">
        <f t="shared" si="4"/>
        <v>34.801229889059996</v>
      </c>
      <c r="F26" s="60">
        <f t="shared" si="4"/>
        <v>17.177379506348991</v>
      </c>
      <c r="G26" s="61">
        <f t="shared" si="4"/>
        <v>0</v>
      </c>
      <c r="H26" s="61">
        <f t="shared" si="4"/>
        <v>0</v>
      </c>
      <c r="I26" s="61">
        <f t="shared" si="4"/>
        <v>0</v>
      </c>
    </row>
    <row r="27" spans="1:9" x14ac:dyDescent="0.25">
      <c r="A27" s="30" t="s">
        <v>5</v>
      </c>
      <c r="B27" s="31">
        <f>A27*B3</f>
        <v>133.29</v>
      </c>
      <c r="C27" s="32">
        <f>B27-(B2-B4)</f>
        <v>46.889999999999986</v>
      </c>
      <c r="D27" s="33">
        <f>C27/E5</f>
        <v>2.395410224426525</v>
      </c>
      <c r="E27" s="58">
        <f t="shared" si="4"/>
        <v>35.950990247715879</v>
      </c>
      <c r="F27" s="58">
        <f t="shared" si="4"/>
        <v>20.779235416640642</v>
      </c>
      <c r="G27" s="63">
        <f t="shared" si="4"/>
        <v>5.6074805855654049</v>
      </c>
      <c r="H27" s="59">
        <f t="shared" si="4"/>
        <v>0</v>
      </c>
      <c r="I27" s="59">
        <f t="shared" si="4"/>
        <v>0</v>
      </c>
    </row>
    <row r="28" spans="1:9" x14ac:dyDescent="0.25">
      <c r="A28" s="36" t="s">
        <v>6</v>
      </c>
      <c r="B28" s="37">
        <f>A28*B3</f>
        <v>155.50500000000002</v>
      </c>
      <c r="C28" s="38">
        <f>B28-(B2-B4)</f>
        <v>69.105000000000018</v>
      </c>
      <c r="D28" s="39">
        <f>C28/E5</f>
        <v>3.5302798796970589</v>
      </c>
      <c r="E28" s="58">
        <f t="shared" si="4"/>
        <v>36.819884910665365</v>
      </c>
      <c r="F28" s="58">
        <f t="shared" si="4"/>
        <v>23.501222962657732</v>
      </c>
      <c r="G28" s="58">
        <f t="shared" si="4"/>
        <v>10.182561014650105</v>
      </c>
      <c r="H28" s="59">
        <f t="shared" si="4"/>
        <v>0</v>
      </c>
      <c r="I28" s="59">
        <f t="shared" si="4"/>
        <v>0</v>
      </c>
    </row>
    <row r="29" spans="1:9" x14ac:dyDescent="0.25">
      <c r="A29" s="40" t="s">
        <v>7</v>
      </c>
      <c r="B29" s="41">
        <f>A29*B3</f>
        <v>177.72</v>
      </c>
      <c r="C29" s="42">
        <f>B29-(B2-B4)</f>
        <v>91.32</v>
      </c>
      <c r="D29" s="43">
        <f>C29/E5</f>
        <v>4.6651495349675898</v>
      </c>
      <c r="E29" s="58">
        <f t="shared" si="4"/>
        <v>37.499627512688086</v>
      </c>
      <c r="F29" s="58">
        <f t="shared" si="4"/>
        <v>25.630653578473002</v>
      </c>
      <c r="G29" s="58">
        <f t="shared" si="4"/>
        <v>13.761679644257917</v>
      </c>
      <c r="H29" s="63">
        <f t="shared" si="4"/>
        <v>1.8927057100428319</v>
      </c>
      <c r="I29" s="59">
        <f t="shared" si="4"/>
        <v>0</v>
      </c>
    </row>
    <row r="30" spans="1:9" s="13" customFormat="1" ht="11.25" x14ac:dyDescent="0.2">
      <c r="A30" s="14" t="s">
        <v>33</v>
      </c>
      <c r="B30" s="14"/>
      <c r="C30" s="14"/>
      <c r="D30" s="71"/>
      <c r="E30" s="71"/>
      <c r="F30" s="71"/>
      <c r="G30" s="71"/>
      <c r="H30" s="71"/>
      <c r="I30" s="71"/>
    </row>
    <row r="31" spans="1:9" s="13" customFormat="1" ht="11.25" x14ac:dyDescent="0.2">
      <c r="A31" s="76" t="s">
        <v>32</v>
      </c>
      <c r="B31" s="76"/>
      <c r="C31" s="77"/>
      <c r="D31" s="77"/>
      <c r="E31" s="77"/>
      <c r="F31" s="77"/>
      <c r="G31" s="77"/>
      <c r="H31" s="77"/>
      <c r="I31" s="77"/>
    </row>
  </sheetData>
  <mergeCells count="9">
    <mergeCell ref="C2:C7"/>
    <mergeCell ref="F2:I7"/>
    <mergeCell ref="A1:I1"/>
    <mergeCell ref="A31:I31"/>
    <mergeCell ref="A16:I16"/>
    <mergeCell ref="A9:D9"/>
    <mergeCell ref="A8:I8"/>
    <mergeCell ref="A23:I23"/>
    <mergeCell ref="E9:I9"/>
  </mergeCells>
  <conditionalFormatting sqref="E11:I11">
    <cfRule type="colorScale" priority="3">
      <colorScale>
        <cfvo type="num" val="#REF!"/>
        <cfvo type="num" val="$E$427"/>
        <cfvo type="num" val="#REF!"/>
        <color rgb="FFE06666"/>
        <color rgb="FFFFEC9C"/>
        <color rgb="FFC6F0CE"/>
      </colorScale>
    </cfRule>
  </conditionalFormatting>
  <conditionalFormatting sqref="E12:I15 E26:I29 E19:I22">
    <cfRule type="colorScale" priority="8">
      <colorScale>
        <cfvo type="num" val="#REF!"/>
        <cfvo type="num" val="$E$427"/>
        <cfvo type="num" val="#REF!"/>
        <color rgb="FFE06666"/>
        <color rgb="FFFFEC9C"/>
        <color rgb="FFC6F0CE"/>
      </colorScale>
    </cfRule>
  </conditionalFormatting>
  <conditionalFormatting sqref="E18:I18">
    <cfRule type="colorScale" priority="2">
      <colorScale>
        <cfvo type="num" val="#REF!"/>
        <cfvo type="num" val="$E$427"/>
        <cfvo type="num" val="#REF!"/>
        <color rgb="FFE06666"/>
        <color rgb="FFFFEC9C"/>
        <color rgb="FFC6F0CE"/>
      </colorScale>
    </cfRule>
  </conditionalFormatting>
  <conditionalFormatting sqref="E25:I25">
    <cfRule type="colorScale" priority="1">
      <colorScale>
        <cfvo type="num" val="#REF!"/>
        <cfvo type="num" val="$E$427"/>
        <cfvo type="num" val="#REF!"/>
        <color rgb="FFE06666"/>
        <color rgb="FFFFEC9C"/>
        <color rgb="FFC6F0CE"/>
      </colorScale>
    </cfRule>
  </conditionalFormatting>
  <pageMargins left="0.75" right="0.75" top="1" bottom="1" header="0.5" footer="0.5"/>
  <ignoredErrors>
    <ignoredError sqref="A12:A15 A19:A22 A26:A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445A1-84C2-F84B-B155-53D5B1399B0B}">
  <dimension ref="A1:I33"/>
  <sheetViews>
    <sheetView zoomScaleNormal="100" workbookViewId="0">
      <selection sqref="A1:I1"/>
    </sheetView>
  </sheetViews>
  <sheetFormatPr defaultColWidth="8.85546875" defaultRowHeight="15" x14ac:dyDescent="0.25"/>
  <cols>
    <col min="1" max="1" width="20.7109375" bestFit="1" customWidth="1"/>
    <col min="2" max="2" width="12.85546875" bestFit="1" customWidth="1"/>
    <col min="3" max="3" width="8.42578125" customWidth="1"/>
    <col min="4" max="4" width="26.42578125" bestFit="1" customWidth="1"/>
    <col min="5" max="9" width="9" customWidth="1"/>
  </cols>
  <sheetData>
    <row r="1" spans="1:9" ht="18.75" x14ac:dyDescent="0.3">
      <c r="A1" s="82" t="s">
        <v>9</v>
      </c>
      <c r="B1" s="82"/>
      <c r="C1" s="83"/>
      <c r="D1" s="83"/>
      <c r="E1" s="83"/>
      <c r="F1" s="83"/>
      <c r="G1" s="83"/>
      <c r="H1" s="83"/>
      <c r="I1" s="83"/>
    </row>
    <row r="2" spans="1:9" x14ac:dyDescent="0.25">
      <c r="A2" s="21" t="s">
        <v>11</v>
      </c>
      <c r="B2" s="22">
        <v>67.599999999999994</v>
      </c>
      <c r="C2" s="73"/>
      <c r="D2" s="21" t="s">
        <v>15</v>
      </c>
      <c r="E2" s="22">
        <v>140</v>
      </c>
      <c r="F2" s="73"/>
      <c r="G2" s="73"/>
      <c r="H2" s="73"/>
      <c r="I2" s="73"/>
    </row>
    <row r="3" spans="1:9" x14ac:dyDescent="0.25">
      <c r="A3" s="21" t="s">
        <v>12</v>
      </c>
      <c r="B3" s="22">
        <v>3902</v>
      </c>
      <c r="C3" s="73"/>
      <c r="D3" s="21" t="s">
        <v>19</v>
      </c>
      <c r="E3" s="70">
        <v>1.1000000000000001</v>
      </c>
      <c r="F3" s="73"/>
      <c r="G3" s="73"/>
      <c r="H3" s="73"/>
      <c r="I3" s="73"/>
    </row>
    <row r="4" spans="1:9" x14ac:dyDescent="0.25">
      <c r="A4" s="21" t="s">
        <v>24</v>
      </c>
      <c r="B4" s="22">
        <v>14.1</v>
      </c>
      <c r="C4" s="73"/>
      <c r="D4" s="21" t="s">
        <v>22</v>
      </c>
      <c r="E4" s="23">
        <f>((E3*B2)-(B4/E7))/(B5)</f>
        <v>88.879638009049756</v>
      </c>
      <c r="F4" s="73"/>
      <c r="G4" s="73"/>
      <c r="H4" s="73"/>
      <c r="I4" s="73"/>
    </row>
    <row r="5" spans="1:9" x14ac:dyDescent="0.25">
      <c r="A5" s="21" t="s">
        <v>13</v>
      </c>
      <c r="B5" s="22">
        <v>0.65</v>
      </c>
      <c r="C5" s="73"/>
      <c r="D5" s="21" t="s">
        <v>23</v>
      </c>
      <c r="E5" s="23">
        <f>((E3*B2)-(B4/E7))/(B5+B6)</f>
        <v>17.864807239819005</v>
      </c>
      <c r="F5" s="73"/>
      <c r="G5" s="73"/>
      <c r="H5" s="73"/>
      <c r="I5" s="73"/>
    </row>
    <row r="6" spans="1:9" x14ac:dyDescent="0.25">
      <c r="A6" s="21" t="s">
        <v>14</v>
      </c>
      <c r="B6" s="24">
        <f>0.799*(B5/0.201)</f>
        <v>2.5838308457711441</v>
      </c>
      <c r="C6" s="73"/>
      <c r="D6" s="21" t="s">
        <v>20</v>
      </c>
      <c r="E6" s="70">
        <v>2</v>
      </c>
      <c r="F6" s="73"/>
      <c r="G6" s="73"/>
      <c r="H6" s="73"/>
      <c r="I6" s="73"/>
    </row>
    <row r="7" spans="1:9" x14ac:dyDescent="0.25">
      <c r="A7" s="21" t="s">
        <v>25</v>
      </c>
      <c r="B7" s="24">
        <f>(B4/(E5*E7))</f>
        <v>0.9285426409272417</v>
      </c>
      <c r="C7" s="73"/>
      <c r="D7" s="21" t="s">
        <v>27</v>
      </c>
      <c r="E7" s="25">
        <v>0.85</v>
      </c>
      <c r="F7" s="73"/>
      <c r="G7" s="73"/>
      <c r="H7" s="73"/>
      <c r="I7" s="73"/>
    </row>
    <row r="8" spans="1:9" ht="15.75" x14ac:dyDescent="0.25">
      <c r="A8" s="74" t="s">
        <v>21</v>
      </c>
      <c r="B8" s="74"/>
      <c r="C8" s="74"/>
      <c r="D8" s="74"/>
      <c r="E8" s="74"/>
      <c r="F8" s="74"/>
      <c r="G8" s="74"/>
      <c r="H8" s="74"/>
      <c r="I8" s="74"/>
    </row>
    <row r="9" spans="1:9" x14ac:dyDescent="0.25">
      <c r="A9" s="73"/>
      <c r="B9" s="73"/>
      <c r="C9" s="73"/>
      <c r="D9" s="73"/>
      <c r="E9" s="84" t="s">
        <v>26</v>
      </c>
      <c r="F9" s="84"/>
      <c r="G9" s="84"/>
      <c r="H9" s="84"/>
      <c r="I9" s="84"/>
    </row>
    <row r="10" spans="1:9" ht="30" customHeight="1" x14ac:dyDescent="0.25">
      <c r="A10" s="20" t="s">
        <v>2</v>
      </c>
      <c r="B10" s="20" t="s">
        <v>16</v>
      </c>
      <c r="C10" s="20" t="s">
        <v>17</v>
      </c>
      <c r="D10" s="20" t="s">
        <v>3</v>
      </c>
      <c r="E10" s="2">
        <v>0</v>
      </c>
      <c r="F10" s="2">
        <v>0.25</v>
      </c>
      <c r="G10" s="2">
        <v>0.5</v>
      </c>
      <c r="H10" s="2">
        <v>0.75</v>
      </c>
      <c r="I10" s="2">
        <v>1</v>
      </c>
    </row>
    <row r="11" spans="1:9" x14ac:dyDescent="0.25">
      <c r="A11" s="12">
        <v>0.02</v>
      </c>
      <c r="B11" s="4">
        <f>A11*$B$3</f>
        <v>78.040000000000006</v>
      </c>
      <c r="C11" s="5">
        <f>B11-B2</f>
        <v>10.440000000000012</v>
      </c>
      <c r="D11" s="6">
        <f>C11/E4</f>
        <v>0.11746222457540846</v>
      </c>
      <c r="E11" s="7">
        <f t="shared" ref="E11:I15" si="0">MAX($E$6*($B$2+$C11-(E$10*$E$2))/($D11+$B$5+$B$7),0)</f>
        <v>92.028037875788812</v>
      </c>
      <c r="F11" s="7">
        <f t="shared" si="0"/>
        <v>50.754571375883529</v>
      </c>
      <c r="G11" s="7">
        <f t="shared" si="0"/>
        <v>9.4811048759782501</v>
      </c>
      <c r="H11" s="18">
        <f t="shared" si="0"/>
        <v>0</v>
      </c>
      <c r="I11" s="18">
        <f t="shared" si="0"/>
        <v>0</v>
      </c>
    </row>
    <row r="12" spans="1:9" x14ac:dyDescent="0.25">
      <c r="A12" s="3" t="s">
        <v>4</v>
      </c>
      <c r="B12" s="4">
        <f>A12*$B$3</f>
        <v>97.550000000000011</v>
      </c>
      <c r="C12" s="5">
        <f>B12-B2</f>
        <v>29.950000000000017</v>
      </c>
      <c r="D12" s="6">
        <f>C12/E4</f>
        <v>0.33697256954343691</v>
      </c>
      <c r="E12" s="7">
        <f t="shared" si="0"/>
        <v>101.85249322664487</v>
      </c>
      <c r="F12" s="7">
        <f t="shared" si="0"/>
        <v>65.308800116111087</v>
      </c>
      <c r="G12" s="7">
        <f t="shared" si="0"/>
        <v>28.765107005577313</v>
      </c>
      <c r="H12" s="18">
        <f t="shared" si="0"/>
        <v>0</v>
      </c>
      <c r="I12" s="18">
        <f t="shared" si="0"/>
        <v>0</v>
      </c>
    </row>
    <row r="13" spans="1:9" x14ac:dyDescent="0.25">
      <c r="A13" s="30" t="s">
        <v>5</v>
      </c>
      <c r="B13" s="31">
        <f>A13*B3</f>
        <v>117.06</v>
      </c>
      <c r="C13" s="32">
        <f>B13-B2</f>
        <v>49.460000000000008</v>
      </c>
      <c r="D13" s="33">
        <f>C13/E4</f>
        <v>0.55648291451146514</v>
      </c>
      <c r="E13" s="34">
        <f t="shared" si="0"/>
        <v>109.65676706005182</v>
      </c>
      <c r="F13" s="34">
        <f t="shared" si="0"/>
        <v>76.870274260617222</v>
      </c>
      <c r="G13" s="34">
        <f t="shared" si="0"/>
        <v>44.083781461182632</v>
      </c>
      <c r="H13" s="34">
        <f t="shared" si="0"/>
        <v>11.297288661748036</v>
      </c>
      <c r="I13" s="35">
        <f t="shared" si="0"/>
        <v>0</v>
      </c>
    </row>
    <row r="14" spans="1:9" x14ac:dyDescent="0.25">
      <c r="A14" s="36" t="s">
        <v>6</v>
      </c>
      <c r="B14" s="37">
        <f>A14*B3</f>
        <v>136.57000000000002</v>
      </c>
      <c r="C14" s="38">
        <f>B14-B2</f>
        <v>68.970000000000027</v>
      </c>
      <c r="D14" s="39">
        <f>C14/E4</f>
        <v>0.77599325947949382</v>
      </c>
      <c r="E14" s="34">
        <f t="shared" si="0"/>
        <v>116.00587612735755</v>
      </c>
      <c r="F14" s="34">
        <f t="shared" si="0"/>
        <v>86.276025761556028</v>
      </c>
      <c r="G14" s="34">
        <f t="shared" si="0"/>
        <v>56.54617539575451</v>
      </c>
      <c r="H14" s="34">
        <f t="shared" si="0"/>
        <v>26.816325029952989</v>
      </c>
      <c r="I14" s="35">
        <f t="shared" si="0"/>
        <v>0</v>
      </c>
    </row>
    <row r="15" spans="1:9" x14ac:dyDescent="0.25">
      <c r="A15" s="40" t="s">
        <v>7</v>
      </c>
      <c r="B15" s="41">
        <f>A15*B3</f>
        <v>156.08000000000001</v>
      </c>
      <c r="C15" s="42">
        <f>B15-B2</f>
        <v>88.480000000000018</v>
      </c>
      <c r="D15" s="43">
        <f>C15/E4</f>
        <v>0.99550360444752206</v>
      </c>
      <c r="E15" s="34">
        <f t="shared" si="0"/>
        <v>121.27210245772086</v>
      </c>
      <c r="F15" s="34">
        <f t="shared" si="0"/>
        <v>94.077563849185296</v>
      </c>
      <c r="G15" s="34">
        <f t="shared" si="0"/>
        <v>66.883025240649744</v>
      </c>
      <c r="H15" s="34">
        <f t="shared" si="0"/>
        <v>39.688486632114191</v>
      </c>
      <c r="I15" s="34">
        <f t="shared" si="0"/>
        <v>12.493948023578632</v>
      </c>
    </row>
    <row r="16" spans="1:9" ht="15.75" x14ac:dyDescent="0.25">
      <c r="A16" s="74" t="s">
        <v>30</v>
      </c>
      <c r="B16" s="74"/>
      <c r="C16" s="74"/>
      <c r="D16" s="74"/>
      <c r="E16" s="74"/>
      <c r="F16" s="74"/>
      <c r="G16" s="74"/>
      <c r="H16" s="74"/>
      <c r="I16" s="74"/>
    </row>
    <row r="17" spans="1:9" x14ac:dyDescent="0.25">
      <c r="A17" s="80"/>
      <c r="B17" s="80"/>
      <c r="C17" s="80"/>
      <c r="D17" s="80"/>
      <c r="E17" s="81" t="s">
        <v>26</v>
      </c>
      <c r="F17" s="81"/>
      <c r="G17" s="81"/>
      <c r="H17" s="81"/>
      <c r="I17" s="81"/>
    </row>
    <row r="18" spans="1:9" ht="39" x14ac:dyDescent="0.25">
      <c r="A18" s="1" t="s">
        <v>2</v>
      </c>
      <c r="B18" s="1" t="s">
        <v>16</v>
      </c>
      <c r="C18" s="1" t="s">
        <v>17</v>
      </c>
      <c r="D18" s="1" t="s">
        <v>18</v>
      </c>
      <c r="E18" s="2">
        <f>E10</f>
        <v>0</v>
      </c>
      <c r="F18" s="2">
        <f>F10</f>
        <v>0.25</v>
      </c>
      <c r="G18" s="2">
        <f>G10</f>
        <v>0.5</v>
      </c>
      <c r="H18" s="2">
        <f>H10</f>
        <v>0.75</v>
      </c>
      <c r="I18" s="2">
        <f>I10</f>
        <v>1</v>
      </c>
    </row>
    <row r="19" spans="1:9" ht="14.1" customHeight="1" x14ac:dyDescent="0.25">
      <c r="A19" s="51">
        <v>0.02</v>
      </c>
      <c r="B19" s="4">
        <f>A19*$B$3</f>
        <v>78.040000000000006</v>
      </c>
      <c r="C19" s="5">
        <f>B19-B2</f>
        <v>10.440000000000012</v>
      </c>
      <c r="D19" s="6">
        <f>C19/$E$5</f>
        <v>0.58438917699208182</v>
      </c>
      <c r="E19" s="19">
        <f t="shared" ref="E19:I23" si="1">MAX($E$6*($B$2+$C19-(E$18*$E$2))/(($B$5+$B$6+$B$7+$D19)),0)</f>
        <v>32.881357476308374</v>
      </c>
      <c r="F19" s="19">
        <f t="shared" si="1"/>
        <v>18.13446470758986</v>
      </c>
      <c r="G19" s="19">
        <f t="shared" si="1"/>
        <v>3.3875719388713419</v>
      </c>
      <c r="H19" s="16">
        <f t="shared" si="1"/>
        <v>0</v>
      </c>
      <c r="I19" s="16">
        <f t="shared" si="1"/>
        <v>0</v>
      </c>
    </row>
    <row r="20" spans="1:9" ht="14.1" customHeight="1" x14ac:dyDescent="0.25">
      <c r="A20" s="51">
        <v>2.5000000000000001E-2</v>
      </c>
      <c r="B20" s="4">
        <f t="shared" ref="B20:B23" si="2">A20*$B$3</f>
        <v>97.550000000000011</v>
      </c>
      <c r="C20" s="5">
        <f>B20-B2</f>
        <v>29.950000000000017</v>
      </c>
      <c r="D20" s="6">
        <f>C20/$E$5</f>
        <v>1.6764804454897355</v>
      </c>
      <c r="E20" s="19">
        <f t="shared" si="1"/>
        <v>33.414091577880242</v>
      </c>
      <c r="F20" s="19">
        <f t="shared" si="1"/>
        <v>21.425437500732027</v>
      </c>
      <c r="G20" s="19">
        <f t="shared" si="1"/>
        <v>9.4367834235838135</v>
      </c>
      <c r="H20" s="16">
        <f t="shared" si="1"/>
        <v>0</v>
      </c>
      <c r="I20" s="16">
        <f t="shared" si="1"/>
        <v>0</v>
      </c>
    </row>
    <row r="21" spans="1:9" x14ac:dyDescent="0.25">
      <c r="A21" s="54">
        <v>0.03</v>
      </c>
      <c r="B21" s="47">
        <f t="shared" si="2"/>
        <v>117.06</v>
      </c>
      <c r="C21" s="32">
        <f>B21-B2</f>
        <v>49.460000000000008</v>
      </c>
      <c r="D21" s="33">
        <f>C21/E5</f>
        <v>2.7685717139873884</v>
      </c>
      <c r="E21" s="44">
        <f t="shared" si="1"/>
        <v>33.778942585902328</v>
      </c>
      <c r="F21" s="44">
        <f t="shared" si="1"/>
        <v>23.679309999992693</v>
      </c>
      <c r="G21" s="44">
        <f t="shared" si="1"/>
        <v>13.579677414083063</v>
      </c>
      <c r="H21" s="45">
        <f t="shared" si="1"/>
        <v>3.4800448281734333</v>
      </c>
      <c r="I21" s="46">
        <f t="shared" si="1"/>
        <v>0</v>
      </c>
    </row>
    <row r="22" spans="1:9" x14ac:dyDescent="0.25">
      <c r="A22" s="55">
        <v>3.5000000000000003E-2</v>
      </c>
      <c r="B22" s="47">
        <f t="shared" si="2"/>
        <v>136.57000000000002</v>
      </c>
      <c r="C22" s="38">
        <f>B22-B2</f>
        <v>68.970000000000027</v>
      </c>
      <c r="D22" s="39">
        <f>C22/E5</f>
        <v>3.8606629824850431</v>
      </c>
      <c r="E22" s="44">
        <f t="shared" si="1"/>
        <v>34.04446696074907</v>
      </c>
      <c r="F22" s="44">
        <f t="shared" si="1"/>
        <v>25.319590753483801</v>
      </c>
      <c r="G22" s="44">
        <f t="shared" si="1"/>
        <v>16.594714546218537</v>
      </c>
      <c r="H22" s="45">
        <f t="shared" si="1"/>
        <v>7.869838338953274</v>
      </c>
      <c r="I22" s="46">
        <f t="shared" si="1"/>
        <v>0</v>
      </c>
    </row>
    <row r="23" spans="1:9" x14ac:dyDescent="0.25">
      <c r="A23" s="56">
        <v>0.04</v>
      </c>
      <c r="B23" s="47">
        <f t="shared" si="2"/>
        <v>156.08000000000001</v>
      </c>
      <c r="C23" s="42">
        <f>B23-B2</f>
        <v>88.480000000000018</v>
      </c>
      <c r="D23" s="43">
        <f>C23/E5</f>
        <v>4.9527542509826956</v>
      </c>
      <c r="E23" s="44">
        <f t="shared" si="1"/>
        <v>34.246365929635843</v>
      </c>
      <c r="F23" s="44">
        <f t="shared" si="1"/>
        <v>26.566824620453023</v>
      </c>
      <c r="G23" s="44">
        <f t="shared" si="1"/>
        <v>18.887283311270203</v>
      </c>
      <c r="H23" s="44">
        <f t="shared" si="1"/>
        <v>11.207742002087386</v>
      </c>
      <c r="I23" s="45">
        <f t="shared" si="1"/>
        <v>3.5282006929045662</v>
      </c>
    </row>
    <row r="24" spans="1:9" ht="15.75" x14ac:dyDescent="0.25">
      <c r="A24" s="74" t="s">
        <v>29</v>
      </c>
      <c r="B24" s="74"/>
      <c r="C24" s="74"/>
      <c r="D24" s="74"/>
      <c r="E24" s="74"/>
      <c r="F24" s="74"/>
      <c r="G24" s="74"/>
      <c r="H24" s="74"/>
      <c r="I24" s="74"/>
    </row>
    <row r="25" spans="1:9" ht="39" x14ac:dyDescent="0.25">
      <c r="A25" s="1" t="s">
        <v>2</v>
      </c>
      <c r="B25" s="1" t="s">
        <v>16</v>
      </c>
      <c r="C25" s="1" t="s">
        <v>17</v>
      </c>
      <c r="D25" s="1" t="s">
        <v>18</v>
      </c>
      <c r="E25" s="2">
        <f>E18</f>
        <v>0</v>
      </c>
      <c r="F25" s="2">
        <f>F18</f>
        <v>0.25</v>
      </c>
      <c r="G25" s="2">
        <f>G18</f>
        <v>0.5</v>
      </c>
      <c r="H25" s="2">
        <f>H18</f>
        <v>0.75</v>
      </c>
      <c r="I25" s="2">
        <f>I18</f>
        <v>1</v>
      </c>
    </row>
    <row r="26" spans="1:9" x14ac:dyDescent="0.25">
      <c r="A26" s="51">
        <v>0.02</v>
      </c>
      <c r="B26" s="4">
        <f>A26*$B$3</f>
        <v>78.040000000000006</v>
      </c>
      <c r="C26" s="5">
        <f>B26-(B2-B4)</f>
        <v>24.540000000000013</v>
      </c>
      <c r="D26" s="6">
        <f>C26/$E$5</f>
        <v>1.3736504217802374</v>
      </c>
      <c r="E26" s="19">
        <f t="shared" ref="E26:I30" si="3">MAX($E$6*(($B$2-$B$4)+$C26-(E$25*$E$2))/(($B$5+$B$6+$D26)),0)</f>
        <v>33.875341197631776</v>
      </c>
      <c r="F26" s="19">
        <f t="shared" si="3"/>
        <v>18.682658702538081</v>
      </c>
      <c r="G26" s="19">
        <f t="shared" si="3"/>
        <v>3.4899762074443834</v>
      </c>
      <c r="H26" s="17">
        <f t="shared" si="3"/>
        <v>0</v>
      </c>
      <c r="I26" s="17">
        <f t="shared" si="3"/>
        <v>0</v>
      </c>
    </row>
    <row r="27" spans="1:9" x14ac:dyDescent="0.25">
      <c r="A27" s="52">
        <v>2.5000000000000001E-2</v>
      </c>
      <c r="B27" s="47">
        <f>A27*B3</f>
        <v>97.550000000000011</v>
      </c>
      <c r="C27" s="48">
        <f>B27-(B2-B4)</f>
        <v>44.050000000000018</v>
      </c>
      <c r="D27" s="49">
        <f>C27/$E$5</f>
        <v>2.4657416902778913</v>
      </c>
      <c r="E27" s="44">
        <f t="shared" si="3"/>
        <v>34.230637256744885</v>
      </c>
      <c r="F27" s="44">
        <f t="shared" si="3"/>
        <v>21.949014458322836</v>
      </c>
      <c r="G27" s="44">
        <f t="shared" si="3"/>
        <v>9.6673916599007867</v>
      </c>
      <c r="H27" s="50">
        <f t="shared" si="3"/>
        <v>0</v>
      </c>
      <c r="I27" s="50">
        <f t="shared" si="3"/>
        <v>0</v>
      </c>
    </row>
    <row r="28" spans="1:9" x14ac:dyDescent="0.25">
      <c r="A28" s="54">
        <v>0.03</v>
      </c>
      <c r="B28" s="31">
        <f>A28*B3</f>
        <v>117.06</v>
      </c>
      <c r="C28" s="32">
        <f>B28-(B2-B4)</f>
        <v>63.560000000000009</v>
      </c>
      <c r="D28" s="33">
        <f>C28/E5</f>
        <v>3.5578329587755442</v>
      </c>
      <c r="E28" s="44">
        <f t="shared" si="3"/>
        <v>34.471670968646599</v>
      </c>
      <c r="F28" s="44">
        <f t="shared" si="3"/>
        <v>24.164918158953871</v>
      </c>
      <c r="G28" s="44">
        <f t="shared" si="3"/>
        <v>13.858165349261141</v>
      </c>
      <c r="H28" s="45">
        <f t="shared" si="3"/>
        <v>3.55141253956841</v>
      </c>
      <c r="I28" s="50">
        <f t="shared" si="3"/>
        <v>0</v>
      </c>
    </row>
    <row r="29" spans="1:9" x14ac:dyDescent="0.25">
      <c r="A29" s="55">
        <v>3.5000000000000003E-2</v>
      </c>
      <c r="B29" s="37">
        <f>A29*B3</f>
        <v>136.57000000000002</v>
      </c>
      <c r="C29" s="38">
        <f>B29-(B2-B4)</f>
        <v>83.070000000000022</v>
      </c>
      <c r="D29" s="39">
        <f>C29/E5</f>
        <v>4.649924227273198</v>
      </c>
      <c r="E29" s="44">
        <f t="shared" si="3"/>
        <v>34.64592665161603</v>
      </c>
      <c r="F29" s="44">
        <f t="shared" si="3"/>
        <v>25.766909057660104</v>
      </c>
      <c r="G29" s="44">
        <f t="shared" si="3"/>
        <v>16.887891463704175</v>
      </c>
      <c r="H29" s="45">
        <f t="shared" si="3"/>
        <v>8.0088738697482516</v>
      </c>
      <c r="I29" s="50">
        <f t="shared" si="3"/>
        <v>0</v>
      </c>
    </row>
    <row r="30" spans="1:9" x14ac:dyDescent="0.25">
      <c r="A30" s="56">
        <v>0.04</v>
      </c>
      <c r="B30" s="41">
        <f>A30*B3</f>
        <v>156.08000000000001</v>
      </c>
      <c r="C30" s="42">
        <f>B30-(B2-B4)</f>
        <v>102.58000000000001</v>
      </c>
      <c r="D30" s="43">
        <f>C30/E5</f>
        <v>5.7420154957708514</v>
      </c>
      <c r="E30" s="44">
        <f t="shared" si="3"/>
        <v>34.777778954978508</v>
      </c>
      <c r="F30" s="44">
        <f t="shared" si="3"/>
        <v>26.979071475325458</v>
      </c>
      <c r="G30" s="44">
        <f t="shared" si="3"/>
        <v>19.180363995672412</v>
      </c>
      <c r="H30" s="44">
        <f t="shared" si="3"/>
        <v>11.381656516019364</v>
      </c>
      <c r="I30" s="45">
        <f t="shared" si="3"/>
        <v>3.5829490363663172</v>
      </c>
    </row>
    <row r="31" spans="1:9" s="13" customFormat="1" ht="11.25" x14ac:dyDescent="0.2">
      <c r="A31" s="85" t="s">
        <v>33</v>
      </c>
      <c r="B31" s="85"/>
      <c r="C31" s="85"/>
      <c r="D31" s="85"/>
      <c r="E31" s="85"/>
      <c r="F31" s="85"/>
      <c r="G31" s="85"/>
      <c r="H31" s="85"/>
      <c r="I31" s="85"/>
    </row>
    <row r="32" spans="1:9" s="13" customFormat="1" ht="11.25" x14ac:dyDescent="0.2">
      <c r="A32" s="15" t="s">
        <v>10</v>
      </c>
      <c r="B32" s="14"/>
      <c r="C32" s="14"/>
      <c r="D32" s="14"/>
      <c r="E32" s="14"/>
      <c r="F32" s="14"/>
      <c r="G32" s="14"/>
      <c r="H32" s="14"/>
      <c r="I32" s="14"/>
    </row>
    <row r="33" spans="1:9" s="13" customFormat="1" ht="11.25" x14ac:dyDescent="0.2">
      <c r="A33" s="15" t="s">
        <v>31</v>
      </c>
      <c r="B33" s="14"/>
      <c r="C33" s="14"/>
      <c r="D33" s="14"/>
      <c r="E33" s="14"/>
      <c r="F33" s="14"/>
      <c r="G33" s="14"/>
      <c r="H33" s="14"/>
      <c r="I33" s="14"/>
    </row>
  </sheetData>
  <mergeCells count="11">
    <mergeCell ref="A24:I24"/>
    <mergeCell ref="E17:I17"/>
    <mergeCell ref="A31:I31"/>
    <mergeCell ref="A17:D17"/>
    <mergeCell ref="A9:D9"/>
    <mergeCell ref="C2:C7"/>
    <mergeCell ref="A1:I1"/>
    <mergeCell ref="A8:I8"/>
    <mergeCell ref="E9:I9"/>
    <mergeCell ref="A16:I16"/>
    <mergeCell ref="F2:I7"/>
  </mergeCells>
  <conditionalFormatting sqref="E11:I11">
    <cfRule type="colorScale" priority="1">
      <colorScale>
        <cfvo type="num" val="#REF!"/>
        <cfvo type="num" val="$E$422"/>
        <cfvo type="num" val="#REF!"/>
        <color rgb="FFE06666"/>
        <color rgb="FFFFEC9C"/>
        <color rgb="FFC6F0CE"/>
      </colorScale>
    </cfRule>
  </conditionalFormatting>
  <conditionalFormatting sqref="E12:I15 E20:I23 E27:I30">
    <cfRule type="colorScale" priority="7">
      <colorScale>
        <cfvo type="num" val="#REF!"/>
        <cfvo type="num" val="$E$422"/>
        <cfvo type="num" val="#REF!"/>
        <color rgb="FFE06666"/>
        <color rgb="FFFFEC9C"/>
        <color rgb="FFC6F0CE"/>
      </colorScale>
    </cfRule>
  </conditionalFormatting>
  <conditionalFormatting sqref="E19:I19">
    <cfRule type="colorScale" priority="3">
      <colorScale>
        <cfvo type="num" val="#REF!"/>
        <cfvo type="num" val="$E$422"/>
        <cfvo type="num" val="#REF!"/>
        <color rgb="FFE06666"/>
        <color rgb="FFFFEC9C"/>
        <color rgb="FFC6F0CE"/>
      </colorScale>
    </cfRule>
  </conditionalFormatting>
  <conditionalFormatting sqref="E26:I26">
    <cfRule type="colorScale" priority="2">
      <colorScale>
        <cfvo type="num" val="#REF!"/>
        <cfvo type="num" val="$E$422"/>
        <cfvo type="num" val="#REF!"/>
        <color rgb="FFE06666"/>
        <color rgb="FFFFEC9C"/>
        <color rgb="FFC6F0CE"/>
      </colorScale>
    </cfRule>
  </conditionalFormatting>
  <pageMargins left="0.7" right="0.7" top="0.75" bottom="0.75" header="0.3" footer="0.3"/>
  <ignoredErrors>
    <ignoredError sqref="A12:A1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FNMA Scenarios</vt:lpstr>
      <vt:lpstr>FMCC 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Jon Hallam</cp:lastModifiedBy>
  <dcterms:created xsi:type="dcterms:W3CDTF">2025-12-04T23:19:28Z</dcterms:created>
  <dcterms:modified xsi:type="dcterms:W3CDTF">2025-12-08T19:23:12Z</dcterms:modified>
</cp:coreProperties>
</file>